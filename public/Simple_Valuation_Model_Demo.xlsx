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68688efe7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41e7b18eff340b5"/>
    <x:sheet xmlns:r="http://schemas.openxmlformats.org/officeDocument/2006/relationships" name="Calculations" sheetId="2" r:id="Rc07744db50114348"/>
    <x:sheet xmlns:r="http://schemas.openxmlformats.org/officeDocument/2006/relationships" name="Outputs" sheetId="3" r:id="Rdb55fc6f37f1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;[Red]($#,##0.0);-"/>
    <x:numFmt numFmtId="202" formatCode="0.0%;[Red](0.0%);-"/>
    <x:numFmt numFmtId="203" formatCode="#,##0.0;[Red](#,##0.0);-"/>
    <x:numFmt numFmtId="204" formatCode="0.0x;[Red](0.0x);-"/>
    <x:numFmt numFmtId="205" formatCode="$0.00;[Red]($0.00);-"/>
  </x:numFmts>
  <x:fonts count="8">
    <x:font>
      <x:sz val="11"/>
      <x:name val="Carlito"/>
    </x:font>
    <x:font>
      <x:sz val="10"/>
      <x:name val="Arial"/>
    </x:font>
    <x:font>
      <x:b/>
      <x:sz val="16"/>
      <x:color rgb="FFFFFFFF"/>
      <x:name val="Arial"/>
    </x:font>
    <x:font>
      <x:i/>
      <x:sz val="10"/>
      <x:color rgb="FF66736D"/>
      <x:name val="Carlito"/>
    </x:font>
    <x:font>
      <x:b/>
      <x:sz val="11"/>
      <x:color rgb="FF153F35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F35"/>
      </x:patternFill>
    </x:fill>
    <x:fill>
      <x:patternFill patternType="solid">
        <x:fgColor rgb="FFF7F4EC"/>
      </x:patternFill>
    </x:fill>
    <x:fill>
      <x:patternFill patternType="solid">
        <x:fgColor rgb="FFE8F0EC"/>
      </x:patternFill>
    </x:fill>
    <x:fill>
      <x:patternFill patternType="solid">
        <x:fgColor rgb="FFEEF5F1"/>
      </x:patternFill>
    </x:fill>
  </x:fills>
  <x:borders count="10">
    <x:border/>
    <x:border>
      <x:left style="thin">
        <x:color rgb="FFD8D7CF"/>
      </x:left>
      <x:top style="thin">
        <x:color rgb="FFD8D7CF"/>
      </x:top>
      <x:bottom style="thin">
        <x:color rgb="FFD8D7CF"/>
      </x:bottom>
    </x:border>
    <x:border>
      <x:top style="thin">
        <x:color rgb="FFD8D7CF"/>
      </x:top>
      <x:bottom style="thin">
        <x:color rgb="FFD8D7CF"/>
      </x:bottom>
    </x:border>
    <x:border>
      <x:right style="thin">
        <x:color rgb="FFD8D7CF"/>
      </x:right>
      <x:top style="thin">
        <x:color rgb="FFD8D7CF"/>
      </x:top>
      <x:bottom style="thin">
        <x:color rgb="FFD8D7CF"/>
      </x:bottom>
    </x:border>
    <x:border>
      <x:bottom style="thin">
        <x:color rgb="FFE8E6DF"/>
      </x:bottom>
    </x:border>
    <x:border>
      <x:top style="thin">
        <x:color rgb="FFE8E6DF"/>
      </x:top>
      <x:bottom style="thin">
        <x:color rgb="FFE8E6DF"/>
      </x:bottom>
    </x:border>
    <x:border>
      <x:top style="thin">
        <x:color rgb="FFE8E6DF"/>
      </x:top>
      <x:bottom style="thin">
        <x:color rgb="FFD8D7CF"/>
      </x:bottom>
    </x:border>
    <x:border>
      <x:left style="medium">
        <x:color rgb="FF153F35"/>
      </x:left>
      <x:top style="medium">
        <x:color rgb="FF153F35"/>
      </x:top>
      <x:bottom style="medium">
        <x:color rgb="FF153F35"/>
      </x:bottom>
    </x:border>
    <x:border>
      <x:top style="medium">
        <x:color rgb="FF153F35"/>
      </x:top>
      <x:bottom style="medium">
        <x:color rgb="FF153F35"/>
      </x:bottom>
    </x:border>
    <x:border>
      <x:right style="medium">
        <x:color rgb="FF153F35"/>
      </x:right>
      <x:top style="medium">
        <x:color rgb="FF153F35"/>
      </x:top>
      <x:bottom style="medium">
        <x:color rgb="FF153F35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right" vertical="center"/>
    </x:xf>
    <x:xf numFmtId="0" fontId="6" fillId="0" borderId="5" xfId="0" applyNumberFormat="1" applyFont="1" applyFill="1" applyBorder="1" applyAlignment="1">
      <x:alignment horizontal="right" vertical="center"/>
    </x:xf>
    <x:xf numFmtId="0" fontId="6" fillId="0" borderId="6" xfId="0" applyNumberFormat="1" applyFont="1" applyFill="1" applyBorder="1" applyAlignment="1">
      <x:alignment horizontal="right"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201" fontId="6" fillId="0" borderId="4" xfId="0" applyNumberFormat="1" applyFont="1" applyFill="1" applyBorder="1" applyAlignment="1">
      <x:alignment horizontal="right" vertical="center"/>
    </x:xf>
    <x:xf numFmtId="202" fontId="6" fillId="0" borderId="5" xfId="0" applyNumberFormat="1" applyFont="1" applyFill="1" applyBorder="1" applyAlignment="1">
      <x:alignment horizontal="right" vertical="center"/>
    </x:xf>
    <x:xf numFmtId="201" fontId="6" fillId="0" borderId="5" xfId="0" applyNumberFormat="1" applyFont="1" applyFill="1" applyBorder="1" applyAlignment="1">
      <x:alignment horizontal="right" vertical="center"/>
    </x:xf>
    <x:xf numFmtId="203" fontId="6" fillId="0" borderId="5" xfId="0" applyNumberFormat="1" applyFont="1" applyFill="1" applyBorder="1" applyAlignment="1">
      <x:alignment horizontal="right" vertical="center"/>
    </x:xf>
    <x:xf numFmtId="204" fontId="6" fillId="0" borderId="6" xfId="0" applyNumberFormat="1" applyFont="1" applyFill="1" applyBorder="1" applyAlignment="1">
      <x:alignment horizontal="right" vertical="center"/>
    </x:xf>
    <x:xf numFmtId="0" fontId="5" fillId="0" borderId="4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right" vertical="center"/>
    </x:xf>
    <x:xf numFmtId="201" fontId="5" fillId="0" borderId="4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  <x:xf numFmtId="0" fontId="7" fillId="0" borderId="4" xfId="0" applyNumberFormat="1" applyFont="1" applyFill="1" applyBorder="1" applyAlignment="1">
      <x:alignment horizontal="right" vertical="center"/>
    </x:xf>
    <x:xf numFmtId="0" fontId="7" fillId="0" borderId="6" xfId="0" applyNumberFormat="1" applyFont="1" applyFill="1" applyBorder="1" applyAlignment="1">
      <x:alignment horizontal="right" vertical="center"/>
    </x:xf>
    <x:xf numFmtId="205" fontId="7" fillId="0" borderId="4" xfId="0" applyNumberFormat="1" applyFont="1" applyFill="1" applyBorder="1" applyAlignment="1">
      <x:alignment horizontal="right" vertical="center"/>
    </x:xf>
    <x:xf numFmtId="0" fontId="5" fillId="5" borderId="4" xfId="0" applyNumberFormat="1" applyFont="1" applyFill="1" applyBorder="1" applyAlignment="1">
      <x:alignment vertical="center"/>
    </x:xf>
    <x:xf numFmtId="205" fontId="7" fillId="5" borderId="4" xfId="0" applyNumberFormat="1" applyFont="1" applyFill="1" applyBorder="1" applyAlignment="1">
      <x:alignment horizontal="right" vertical="center"/>
    </x:xf>
    <x:xf numFmtId="0" fontId="0" fillId="5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vertical="center"/>
    </x:xf>
    <x:xf numFmtId="205" fontId="4" fillId="5" borderId="4" xfId="0" applyNumberFormat="1" applyFont="1" applyFill="1" applyBorder="1" applyAlignment="1">
      <x:alignment horizontal="right" vertical="center"/>
    </x:xf>
    <x:xf numFmtId="200" fontId="4" fillId="5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205" fontId="4" fillId="5" borderId="8" xfId="0" applyNumberFormat="1" applyFont="1" applyFill="1" applyBorder="1" applyAlignment="1">
      <x:alignment horizontal="right" vertical="center"/>
    </x:xf>
    <x:xf numFmtId="20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5eb8658a24d97" /><Relationship Type="http://schemas.openxmlformats.org/officeDocument/2006/relationships/theme" Target="/xl/theme/theme1.xml" Id="R75309b351a5a4957" /><Relationship Type="http://schemas.openxmlformats.org/officeDocument/2006/relationships/sharedStrings" Target="/xl/sharedStrings.xml" Id="R4c9822b37acc4283" /><Relationship Type="http://schemas.openxmlformats.org/officeDocument/2006/relationships/worksheet" Target="/xl/worksheets/sheet1.xml" Id="Re41e7b18eff340b5" /><Relationship Type="http://schemas.openxmlformats.org/officeDocument/2006/relationships/worksheet" Target="/xl/worksheets/sheet2.xml" Id="Rc07744db50114348" /><Relationship Type="http://schemas.openxmlformats.org/officeDocument/2006/relationships/worksheet" Target="/xl/worksheets/sheet3.xml" Id="Rdb55fc6f37f142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4" hidden="0" customWidth="1"/>
    <x:col min="8" max="8" width="15" hidden="0" customWidth="1"/>
    <x:col min="9" max="9" width="10" hidden="0" customWidth="1"/>
  </x:cols>
  <x:sheetData>
    <x:row r="1" ht="30" customHeight="1">
      <x:c r="A1" s="4" t="str">
        <x:v>Simple Valuation Model — Inputs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7" t="str">
        <x:v>Blue cells are editable assumptions. This workbook is intentionally simple and designed for Level Grind model parsing.</x:v>
      </x:c>
      <x:c r="B2" s="7"/>
      <x:c r="C2" s="7"/>
      <x:c r="D2" s="7"/>
      <x:c r="E2" s="7"/>
      <x:c r="F2" s="7"/>
      <x:c r="G2" s="7"/>
      <x:c r="H2" s="7"/>
      <x:c r="I2" s="7"/>
    </x:row>
    <x:row r="4" ht="24" customHeight="1">
      <x:c r="A4" s="13" t="str">
        <x:v>Key</x:v>
      </x:c>
      <x:c r="B4" s="14" t="str">
        <x:v>Label</x:v>
      </x:c>
      <x:c r="C4" s="14" t="str">
        <x:v>Value</x:v>
      </x:c>
      <x:c r="D4" s="14" t="str">
        <x:v>Unit</x:v>
      </x:c>
      <x:c r="E4" s="14" t="str">
        <x:v>Period</x:v>
      </x:c>
      <x:c r="F4" s="14" t="str">
        <x:v>Source</x:v>
      </x:c>
      <x:c r="G4" s="14" t="str">
        <x:v>Source URL</x:v>
      </x:c>
      <x:c r="H4" s="14" t="str">
        <x:v>Source Date</x:v>
      </x:c>
      <x:c r="I4" s="15" t="str">
        <x:v>Stale</x:v>
      </x:c>
    </x:row>
    <x:row r="5" ht="22" customHeight="1">
      <x:c r="A5" s="22" t="str">
        <x:v>revenue_2026</x:v>
      </x:c>
      <x:c r="B5" s="22" t="str">
        <x:v>Revenue</x:v>
      </x:c>
      <x:c r="C5" s="40" t="n">
        <x:v>500</x:v>
      </x:c>
      <x:c r="D5" s="19" t="str">
        <x:v>USD mm</x:v>
      </x:c>
      <x:c r="E5" s="19" t="str">
        <x:v>2026E</x:v>
      </x:c>
      <x:c r="F5" s="19" t="str">
        <x:v>Demo assumption</x:v>
      </x:c>
      <x:c r="G5" s="31" t="str"/>
      <x:c r="H5" s="34" t="n">
        <x:v>46231</x:v>
      </x:c>
      <x:c r="I5" s="37" t="str">
        <x:v>No</x:v>
      </x:c>
    </x:row>
    <x:row r="6" ht="22" customHeight="1">
      <x:c r="A6" s="23" t="str">
        <x:v>revenue_growth_2027</x:v>
      </x:c>
      <x:c r="B6" s="23" t="str">
        <x:v>Revenue growth</x:v>
      </x:c>
      <x:c r="C6" s="41" t="n">
        <x:v>0.15</x:v>
      </x:c>
      <x:c r="D6" s="20" t="str">
        <x:v>%</x:v>
      </x:c>
      <x:c r="E6" s="20" t="str">
        <x:v>2027E</x:v>
      </x:c>
      <x:c r="F6" s="20" t="str">
        <x:v>Demo assumption</x:v>
      </x:c>
      <x:c r="G6" s="32" t="str"/>
      <x:c r="H6" s="35" t="n">
        <x:v>46231</x:v>
      </x:c>
      <x:c r="I6" s="38" t="str">
        <x:v>No</x:v>
      </x:c>
    </x:row>
    <x:row r="7" ht="22" customHeight="1">
      <x:c r="A7" s="23" t="str">
        <x:v>ebitda_margin_2027</x:v>
      </x:c>
      <x:c r="B7" s="23" t="str">
        <x:v>EBITDA margin</x:v>
      </x:c>
      <x:c r="C7" s="41" t="n">
        <x:v>0.2</x:v>
      </x:c>
      <x:c r="D7" s="20" t="str">
        <x:v>%</x:v>
      </x:c>
      <x:c r="E7" s="20" t="str">
        <x:v>2027E</x:v>
      </x:c>
      <x:c r="F7" s="20" t="str">
        <x:v>Demo assumption</x:v>
      </x:c>
      <x:c r="G7" s="32" t="str"/>
      <x:c r="H7" s="35" t="n">
        <x:v>46231</x:v>
      </x:c>
      <x:c r="I7" s="38" t="str">
        <x:v>No</x:v>
      </x:c>
    </x:row>
    <x:row r="8" ht="22" customHeight="1">
      <x:c r="A8" s="23" t="str">
        <x:v>net_debt</x:v>
      </x:c>
      <x:c r="B8" s="23" t="str">
        <x:v>Net debt</x:v>
      </x:c>
      <x:c r="C8" s="42" t="n">
        <x:v>50</x:v>
      </x:c>
      <x:c r="D8" s="20" t="str">
        <x:v>USD mm</x:v>
      </x:c>
      <x:c r="E8" s="20" t="str">
        <x:v>2026E</x:v>
      </x:c>
      <x:c r="F8" s="20" t="str">
        <x:v>Demo assumption</x:v>
      </x:c>
      <x:c r="G8" s="32" t="str"/>
      <x:c r="H8" s="35" t="n">
        <x:v>46231</x:v>
      </x:c>
      <x:c r="I8" s="38" t="str">
        <x:v>No</x:v>
      </x:c>
    </x:row>
    <x:row r="9" ht="22" customHeight="1">
      <x:c r="A9" s="23" t="str">
        <x:v>diluted_shares</x:v>
      </x:c>
      <x:c r="B9" s="23" t="str">
        <x:v>Diluted shares</x:v>
      </x:c>
      <x:c r="C9" s="43" t="n">
        <x:v>100</x:v>
      </x:c>
      <x:c r="D9" s="20" t="str">
        <x:v>mm shares</x:v>
      </x:c>
      <x:c r="E9" s="20" t="str">
        <x:v>2026E</x:v>
      </x:c>
      <x:c r="F9" s="20" t="str">
        <x:v>Demo assumption</x:v>
      </x:c>
      <x:c r="G9" s="32" t="str"/>
      <x:c r="H9" s="35" t="n">
        <x:v>46231</x:v>
      </x:c>
      <x:c r="I9" s="38" t="str">
        <x:v>No</x:v>
      </x:c>
    </x:row>
    <x:row r="10" ht="22" customHeight="1">
      <x:c r="A10" s="24" t="str">
        <x:v>exit_multiple</x:v>
      </x:c>
      <x:c r="B10" s="24" t="str">
        <x:v>Exit EV / EBITDA</x:v>
      </x:c>
      <x:c r="C10" s="44" t="n">
        <x:v>10</x:v>
      </x:c>
      <x:c r="D10" s="21" t="str">
        <x:v>x</x:v>
      </x:c>
      <x:c r="E10" s="21" t="str">
        <x:v>2027E</x:v>
      </x:c>
      <x:c r="F10" s="21" t="str">
        <x:v>Demo assumption</x:v>
      </x:c>
      <x:c r="G10" s="33" t="str"/>
      <x:c r="H10" s="36" t="n">
        <x:v>46231</x:v>
      </x:c>
      <x:c r="I10" s="39" t="str">
        <x:v>No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4" hidden="0" customWidth="1"/>
    <x:col min="8" max="8" width="15" hidden="0" customWidth="1"/>
    <x:col min="9" max="9" width="10" hidden="0" customWidth="1"/>
  </x:cols>
  <x:sheetData>
    <x:row r="1" ht="30" customHeight="1">
      <x:c r="A1" s="4" t="str">
        <x:v>Simple Valuation Model — Calculations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7" t="str">
        <x:v>All calculation cells reference the Inputs sheet; no assumptions are hardcoded inside formulas.</x:v>
      </x:c>
      <x:c r="B2" s="7"/>
      <x:c r="C2" s="7"/>
      <x:c r="D2" s="7"/>
      <x:c r="E2" s="7"/>
      <x:c r="F2" s="7"/>
      <x:c r="G2" s="7"/>
      <x:c r="H2" s="7"/>
      <x:c r="I2" s="7"/>
    </x:row>
    <x:row r="4" ht="24" customHeight="1">
      <x:c r="A4" s="13" t="str">
        <x:v>Key</x:v>
      </x:c>
      <x:c r="B4" s="14" t="str">
        <x:v>Label</x:v>
      </x:c>
      <x:c r="C4" s="14" t="str">
        <x:v>Value</x:v>
      </x:c>
      <x:c r="D4" s="14" t="str">
        <x:v>Unit</x:v>
      </x:c>
      <x:c r="E4" s="14" t="str">
        <x:v>Period</x:v>
      </x:c>
      <x:c r="F4" s="14" t="str">
        <x:v>Source</x:v>
      </x:c>
      <x:c r="G4" s="14" t="str">
        <x:v>Source URL</x:v>
      </x:c>
      <x:c r="H4" s="14" t="str">
        <x:v>Source Date</x:v>
      </x:c>
      <x:c r="I4" s="15" t="str">
        <x:v>Stale</x:v>
      </x:c>
    </x:row>
    <x:row r="5" ht="22" customHeight="1">
      <x:c r="A5" s="22" t="str">
        <x:v>revenue_2027</x:v>
      </x:c>
      <x:c r="B5" s="22" t="str">
        <x:v>Revenue</x:v>
      </x:c>
      <x:c r="C5" s="48" t="n">
        <x:f>'Inputs'!C5*(1+'Inputs'!C6)</x:f>
        <x:v>575</x:v>
      </x:c>
      <x:c r="D5" s="19" t="str">
        <x:v>USD mm</x:v>
      </x:c>
      <x:c r="E5" s="19" t="str">
        <x:v>2027E</x:v>
      </x:c>
      <x:c r="F5" s="19" t="str">
        <x:v>Workbook formula</x:v>
      </x:c>
      <x:c r="G5" s="31" t="str"/>
      <x:c r="H5" s="34" t="n">
        <x:v>46231</x:v>
      </x:c>
      <x:c r="I5" s="37" t="str">
        <x:v>No</x:v>
      </x:c>
    </x:row>
    <x:row r="6" ht="22" customHeight="1">
      <x:c r="A6" s="23" t="str">
        <x:v>ebitda_2027</x:v>
      </x:c>
      <x:c r="B6" s="23" t="str">
        <x:v>EBITDA</x:v>
      </x:c>
      <x:c r="C6" s="49" t="n">
        <x:f>C5*'Inputs'!C7</x:f>
        <x:v>115</x:v>
      </x:c>
      <x:c r="D6" s="20" t="str">
        <x:v>USD mm</x:v>
      </x:c>
      <x:c r="E6" s="20" t="str">
        <x:v>2027E</x:v>
      </x:c>
      <x:c r="F6" s="20" t="str">
        <x:v>Workbook formula</x:v>
      </x:c>
      <x:c r="G6" s="32" t="str"/>
      <x:c r="H6" s="35" t="n">
        <x:v>46231</x:v>
      </x:c>
      <x:c r="I6" s="38" t="str">
        <x:v>No</x:v>
      </x:c>
    </x:row>
    <x:row r="7" ht="22" customHeight="1">
      <x:c r="A7" s="23" t="str">
        <x:v>enterprise_value</x:v>
      </x:c>
      <x:c r="B7" s="23" t="str">
        <x:v>Enterprise value</x:v>
      </x:c>
      <x:c r="C7" s="49" t="n">
        <x:f>C6*'Inputs'!C10</x:f>
        <x:v>1150</x:v>
      </x:c>
      <x:c r="D7" s="20" t="str">
        <x:v>USD mm</x:v>
      </x:c>
      <x:c r="E7" s="20" t="str">
        <x:v>2027E</x:v>
      </x:c>
      <x:c r="F7" s="20" t="str">
        <x:v>Workbook formula</x:v>
      </x:c>
      <x:c r="G7" s="32" t="str"/>
      <x:c r="H7" s="35" t="n">
        <x:v>46231</x:v>
      </x:c>
      <x:c r="I7" s="38" t="str">
        <x:v>No</x:v>
      </x:c>
    </x:row>
    <x:row r="8" ht="22" customHeight="1">
      <x:c r="A8" s="24" t="str">
        <x:v>equity_value</x:v>
      </x:c>
      <x:c r="B8" s="24" t="str">
        <x:v>Equity value</x:v>
      </x:c>
      <x:c r="C8" s="50" t="n">
        <x:f>C7-'Inputs'!C8</x:f>
        <x:v>1100</x:v>
      </x:c>
      <x:c r="D8" s="21" t="str">
        <x:v>USD mm</x:v>
      </x:c>
      <x:c r="E8" s="21" t="str">
        <x:v>2027E</x:v>
      </x:c>
      <x:c r="F8" s="21" t="str">
        <x:v>Workbook formula</x:v>
      </x:c>
      <x:c r="G8" s="33" t="str"/>
      <x:c r="H8" s="36" t="n">
        <x:v>46231</x:v>
      </x:c>
      <x:c r="I8" s="39" t="str">
        <x:v>No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4" hidden="0" customWidth="1"/>
    <x:col min="8" max="8" width="15" hidden="0" customWidth="1"/>
    <x:col min="9" max="9" width="10" hidden="0" customWidth="1"/>
  </x:cols>
  <x:sheetData>
    <x:row r="1" ht="30" customHeight="1">
      <x:c r="A1" s="4" t="str">
        <x:v>Simple Valuation Model — Outputs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7" t="str">
        <x:v>Green cells are final model outputs. Change an input, export the workbook, and Excel will recalculate the result.</x:v>
      </x:c>
      <x:c r="B2" s="7"/>
      <x:c r="C2" s="7"/>
      <x:c r="D2" s="7"/>
      <x:c r="E2" s="7"/>
      <x:c r="F2" s="7"/>
      <x:c r="G2" s="7"/>
      <x:c r="H2" s="7"/>
      <x:c r="I2" s="7"/>
    </x:row>
    <x:row r="4" ht="24" customHeight="1">
      <x:c r="A4" s="13" t="str">
        <x:v>Key</x:v>
      </x:c>
      <x:c r="B4" s="14" t="str">
        <x:v>Label</x:v>
      </x:c>
      <x:c r="C4" s="14" t="str">
        <x:v>Value</x:v>
      </x:c>
      <x:c r="D4" s="14" t="str">
        <x:v>Unit</x:v>
      </x:c>
      <x:c r="E4" s="14" t="str">
        <x:v>Period</x:v>
      </x:c>
      <x:c r="F4" s="14" t="str">
        <x:v>Source</x:v>
      </x:c>
      <x:c r="G4" s="14" t="str">
        <x:v>Source URL</x:v>
      </x:c>
      <x:c r="H4" s="14" t="str">
        <x:v>Source Date</x:v>
      </x:c>
      <x:c r="I4" s="15" t="str">
        <x:v>Stale</x:v>
      </x:c>
    </x:row>
    <x:row r="5" ht="26" customHeight="1">
      <x:c r="A5" s="64" t="str">
        <x:v>implied_share_price</x:v>
      </x:c>
      <x:c r="B5" s="65" t="str">
        <x:v>Implied share price</x:v>
      </x:c>
      <x:c r="C5" s="66" t="n">
        <x:f>'Calculations'!C8/'Inputs'!C9</x:f>
        <x:v>11</x:v>
      </x:c>
      <x:c r="D5" s="65" t="str">
        <x:v>$ / share</x:v>
      </x:c>
      <x:c r="E5" s="65" t="str">
        <x:v>2027E</x:v>
      </x:c>
      <x:c r="F5" s="65" t="str">
        <x:v>Workbook formula</x:v>
      </x:c>
      <x:c r="G5" s="65" t="str"/>
      <x:c r="H5" s="67" t="n">
        <x:v>46231</x:v>
      </x:c>
      <x:c r="I5" s="68" t="str">
        <x:v>No</x:v>
      </x:c>
    </x:row>
    <x:row r="6" ht="22" customHeight="1">
      <x:c r="A6" s="24" t="str">
        <x:v>model_check</x:v>
      </x:c>
      <x:c r="B6" s="24" t="str">
        <x:v>Model check</x:v>
      </x:c>
      <x:c r="C6" s="52" t="str">
        <x:f>IF(C5&gt;0,"OK","CHECK")</x:f>
        <x:v>OK</x:v>
      </x:c>
      <x:c r="D6" s="21" t="str">
        <x:v>status</x:v>
      </x:c>
      <x:c r="E6" s="21" t="str">
        <x:v>2027E</x:v>
      </x:c>
      <x:c r="F6" s="21" t="str">
        <x:v>Workbook formula</x:v>
      </x:c>
      <x:c r="G6" s="33" t="str"/>
      <x:c r="H6" s="36" t="n">
        <x:v>46231</x:v>
      </x:c>
      <x:c r="I6" s="39" t="str">
        <x:v>No</x:v>
      </x:c>
    </x:row>
  </x:sheetData>
  <x:mergeCells>
    <x:mergeCell ref="A1:I1"/>
    <x:mergeCell ref="A2:I2"/>
  </x:mergeCells>
  <x:pageMargins left="0.7" right="0.7" top="0.75" bottom="0.75" header="0.3" footer="0.3"/>
</x:worksheet>
</file>