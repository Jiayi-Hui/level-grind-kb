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5076c1394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891e0a797344e4a"/>
    <x:sheet xmlns:r="http://schemas.openxmlformats.org/officeDocument/2006/relationships" name="Inputs" sheetId="2" r:id="R74f2e761653e41ba"/>
    <x:sheet xmlns:r="http://schemas.openxmlformats.org/officeDocument/2006/relationships" name="Calculations" sheetId="3" r:id="R2d95c89b0d7240dd"/>
    <x:sheet xmlns:r="http://schemas.openxmlformats.org/officeDocument/2006/relationships" name="Outputs" sheetId="4" r:id="R02a149f66c01464f"/>
    <x:sheet xmlns:r="http://schemas.openxmlformats.org/officeDocument/2006/relationships" name="Update Queue" sheetId="5" r:id="R503af7b9be90424a"/>
    <x:sheet xmlns:r="http://schemas.openxmlformats.org/officeDocument/2006/relationships" name="Sources" sheetId="6" r:id="Rd1ba3a4a47084029"/>
    <x:sheet xmlns:r="http://schemas.openxmlformats.org/officeDocument/2006/relationships" name="Change Log" sheetId="7" r:id="R05f840b5f4db488d"/>
  </x:sheets>
</x:workbook>
</file>

<file path=xl/comments1.xml><?xml version="1.0" encoding="utf-8"?>
<x:comments xmlns:x="http://schemas.openxmlformats.org/spreadsheetml/2006/main">
  <x:authors>
    <x:author>tc={31A37A32-16F4-4CFB-1DB6-B3B034C2A271}</x:author>
    <x:author>tc={42261CF5-E16B-24EE-9817-7BE153A76FFA}</x:author>
  </x:authors>
  <x:commentList>
    <x:comment ref="C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illustrative annual report. Replace with the latest source-linked company filing.</x:t>
        </x:r>
      </x:text>
    </x:comment>
    <x:comment ref="C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assumption. Review when a new filing or event enters Level Grind.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#,##0.0"/>
    <x:numFmt numFmtId="204" formatCode="0.00"/>
  </x:numFmts>
  <x:fonts count="1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F34"/>
      <x:name val="Carlito"/>
    </x:font>
    <x:font>
      <x:i/>
      <x:sz val="11"/>
      <x:color rgb="FF6F4A38"/>
      <x:name val="Carlito"/>
    </x:font>
    <x:font>
      <x:i/>
      <x:sz val="11"/>
      <x:color rgb="FF173F34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3F34"/>
      <x:name val="Arial"/>
    </x:font>
    <x:font>
      <x:i/>
      <x:sz val="10"/>
      <x:color rgb="FF6F4A38"/>
      <x:name val="Arial"/>
    </x:font>
    <x:font>
      <x:i/>
      <x:sz val="10"/>
      <x:color rgb="FF173F34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8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4"/>
      </x:patternFill>
    </x:fill>
    <x:fill>
      <x:patternFill patternType="solid">
        <x:fgColor rgb="FFEEF2EC"/>
      </x:patternFill>
    </x:fill>
    <x:fill>
      <x:patternFill patternType="solid">
        <x:fgColor rgb="FFF6EFEA"/>
      </x:patternFill>
    </x:fill>
    <x:fill>
      <x:patternFill patternType="solid">
        <x:fgColor rgb="FFFFF9CC"/>
      </x:patternFill>
    </x:fill>
    <x:fill>
      <x:patternFill patternType="solid">
        <x:fgColor rgb="FFFFF4D8"/>
      </x:patternFill>
    </x:fill>
  </x:fills>
  <x:borders count="13">
    <x:border/>
    <x:border>
      <x:right style="thin">
        <x:color rgb="FF557065"/>
      </x:right>
    </x:border>
    <x:border>
      <x:left style="thin">
        <x:color rgb="FF557065"/>
      </x:left>
      <x:right style="thin">
        <x:color rgb="FF557065"/>
      </x:right>
    </x:border>
    <x:border>
      <x:left style="thin">
        <x:color rgb="FF557065"/>
      </x:left>
    </x:border>
    <x:border>
      <x:right style="thin">
        <x:color rgb="FFD8DDD7"/>
      </x:right>
      <x:bottom style="thin">
        <x:color rgb="FFD8DDD7"/>
      </x:bottom>
    </x:border>
    <x:border>
      <x:left style="thin">
        <x:color rgb="FFD8DDD7"/>
      </x:left>
      <x:right style="thin">
        <x:color rgb="FFD8DDD7"/>
      </x:right>
      <x:bottom style="thin">
        <x:color rgb="FFD8DDD7"/>
      </x:bottom>
    </x:border>
    <x:border>
      <x:left style="thin">
        <x:color rgb="FFD8DDD7"/>
      </x:left>
      <x:right style="thin">
        <x:color rgb="FF557065"/>
      </x:right>
      <x:bottom style="thin">
        <x:color rgb="FFD8DDD7"/>
      </x:bottom>
    </x:border>
    <x:border>
      <x:right style="thin">
        <x:color rgb="FFD8DDD7"/>
      </x:right>
      <x:top style="thin">
        <x:color rgb="FFD8DDD7"/>
      </x:top>
      <x:bottom style="thin">
        <x:color rgb="FFD8DDD7"/>
      </x:bottom>
    </x:border>
    <x:border>
      <x:left style="thin">
        <x:color rgb="FFD8DDD7"/>
      </x:left>
      <x:right style="thin">
        <x:color rgb="FFD8DDD7"/>
      </x:right>
      <x:top style="thin">
        <x:color rgb="FFD8DDD7"/>
      </x:top>
      <x:bottom style="thin">
        <x:color rgb="FFD8DDD7"/>
      </x:bottom>
    </x:border>
    <x:border>
      <x:left style="thin">
        <x:color rgb="FFD8DDD7"/>
      </x:left>
      <x:right style="thin">
        <x:color rgb="FF557065"/>
      </x:right>
      <x:top style="thin">
        <x:color rgb="FFD8DDD7"/>
      </x:top>
      <x:bottom style="thin">
        <x:color rgb="FFD8DDD7"/>
      </x:bottom>
    </x:border>
    <x:border>
      <x:right style="thin">
        <x:color rgb="FFD8DDD7"/>
      </x:right>
      <x:top style="thin">
        <x:color rgb="FFD8DDD7"/>
      </x:top>
    </x:border>
    <x:border>
      <x:left style="thin">
        <x:color rgb="FFD8DDD7"/>
      </x:left>
      <x:right style="thin">
        <x:color rgb="FFD8DDD7"/>
      </x:right>
      <x:top style="thin">
        <x:color rgb="FFD8DDD7"/>
      </x:top>
    </x:border>
    <x:border>
      <x:left style="thin">
        <x:color rgb="FFD8DDD7"/>
      </x:left>
      <x:right style="thin">
        <x:color rgb="FF557065"/>
      </x:right>
      <x:top style="thin">
        <x:color rgb="FFD8DDD7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2" fontId="6" fillId="5" borderId="0" xfId="0" applyNumberFormat="1" applyFont="1" applyFill="1" applyBorder="1"/>
    <x:xf numFmtId="203" fontId="6" fillId="5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1" fillId="3" borderId="0" xfId="0" applyNumberFormat="1" applyFont="1" applyFill="1" applyBorder="1"/>
    <x:xf numFmtId="200" fontId="10" fillId="0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203" fontId="14" fillId="5" borderId="0" xfId="0" applyNumberFormat="1" applyFont="1" applyFill="1" applyBorder="1"/>
    <x:xf numFmtId="0" fontId="1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4" fillId="5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203" fontId="14" fillId="5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4" fillId="5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0" borderId="0" xfId="0" applyNumberFormat="1" applyFont="1" applyFill="1" applyBorder="1"/>
    <x:xf numFmtId="204" fontId="16" fillId="0" borderId="0" xfId="0" applyNumberFormat="1" applyFont="1" applyFill="1" applyBorder="1"/>
    <x:xf numFmtId="201" fontId="16" fillId="0" borderId="0" xfId="0" applyNumberFormat="1" applyFont="1" applyFill="1" applyBorder="1" applyAlignment="1">
      <x:alignment vertical="center"/>
    </x:xf>
    <x:xf numFmtId="204" fontId="16" fillId="0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vertical="center"/>
    </x:xf>
    <x:xf numFmtId="0" fontId="9" fillId="2" borderId="4" xfId="0" applyNumberFormat="1" applyFont="1" applyFill="1" applyBorder="1" applyAlignment="1">
      <x:alignment vertical="center"/>
    </x:xf>
    <x:xf numFmtId="0" fontId="9" fillId="2" borderId="5" xfId="0" applyNumberFormat="1" applyFont="1" applyFill="1" applyBorder="1" applyAlignment="1">
      <x:alignment vertical="center"/>
    </x:xf>
    <x:xf numFmtId="0" fontId="9" fillId="2" borderId="6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203" fontId="14" fillId="5" borderId="8" xfId="0" applyNumberFormat="1" applyFont="1" applyFill="1" applyBorder="1" applyAlignment="1">
      <x:alignment vertical="center"/>
    </x:xf>
    <x:xf numFmtId="200" fontId="10" fillId="0" borderId="8" xfId="0" applyNumberFormat="1" applyFont="1" applyFill="1" applyBorder="1" applyAlignment="1">
      <x:alignment vertical="center"/>
    </x:xf>
    <x:xf numFmtId="0" fontId="10" fillId="6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4" fillId="5" borderId="8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5" fillId="0" borderId="8" xfId="0" applyNumberFormat="1" applyFont="1" applyFill="1" applyBorder="1" applyAlignment="1">
      <x:alignment vertical="center"/>
    </x:xf>
    <x:xf numFmtId="0" fontId="16" fillId="0" borderId="8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0" borderId="8" xfId="0" applyNumberFormat="1" applyFont="1" applyFill="1" applyBorder="1" applyAlignment="1">
      <x:alignment vertical="center"/>
    </x:xf>
    <x:xf numFmtId="204" fontId="16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48521e19a4cb8" /><Relationship Type="http://schemas.openxmlformats.org/officeDocument/2006/relationships/theme" Target="/xl/theme/theme1.xml" Id="Rdff9bf47457a49ab" /><Relationship Type="http://schemas.microsoft.com/office/2022/11/relationships/FeaturePropertyBag" Target="/xl/featurePropertyBag/featurePropertyBag.xml" Id="R71e0f1361eb145bf" /><Relationship Type="http://schemas.openxmlformats.org/officeDocument/2006/relationships/sharedStrings" Target="/xl/sharedStrings.xml" Id="R5eeae5428b6042b4" /><Relationship Type="http://schemas.openxmlformats.org/officeDocument/2006/relationships/worksheet" Target="/xl/worksheets/sheet1.xml" Id="R3891e0a797344e4a" /><Relationship Type="http://schemas.openxmlformats.org/officeDocument/2006/relationships/worksheet" Target="/xl/worksheets/sheet2.xml" Id="R74f2e761653e41ba" /><Relationship Type="http://schemas.openxmlformats.org/officeDocument/2006/relationships/worksheet" Target="/xl/worksheets/sheet3.xml" Id="R2d95c89b0d7240dd" /><Relationship Type="http://schemas.openxmlformats.org/officeDocument/2006/relationships/worksheet" Target="/xl/worksheets/sheet4.xml" Id="R02a149f66c01464f" /><Relationship Type="http://schemas.openxmlformats.org/officeDocument/2006/relationships/worksheet" Target="/xl/worksheets/sheet5.xml" Id="R503af7b9be90424a" /><Relationship Type="http://schemas.openxmlformats.org/officeDocument/2006/relationships/worksheet" Target="/xl/worksheets/sheet6.xml" Id="Rd1ba3a4a47084029" /><Relationship Type="http://schemas.openxmlformats.org/officeDocument/2006/relationships/worksheet" Target="/xl/worksheets/sheet7.xml" Id="R05f840b5f4db488d" /><Relationship Type="http://schemas.microsoft.com/office/2017/10/relationships/person" Target="/xl/persons/person.xml" Id="R662909512b1847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iayi Hui" id="{923E1D46-6EA3-45BF-9F93-ABE465E03F9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6" dT="2026-07-27T22:29:09.516" personId="{923E1D46-6EA3-45BF-9F93-ABE465E03F91}" id="{31A37A32-16F4-4CFB-1DB6-B3B034C2A271}">
    <xltc:text>Source: illustrative annual report. Replace with the latest source-linked company filing.</xltc:text>
  </xltc:threadedComment>
  <xltc:threadedComment ref="C9" dT="2026-07-27T22:29:09.517" personId="{923E1D46-6EA3-45BF-9F93-ABE465E03F91}" id="{42261CF5-E16B-24EE-9817-7BE153A76FFA}">
    <xltc:text>Editable analyst assumption. Review when a new filing or event enters Level Grind.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9a586ae986342a9" /><Relationship Type="http://schemas.openxmlformats.org/officeDocument/2006/relationships/vmlDrawing" Target="/xl/drawings/vmldrawing.vml" Id="Ref3d894edf474ead" /><Relationship Type="http://schemas.microsoft.com/office/2017/10/relationships/threadedComment" Target="/xl/threadedcomments/threadedcomment.xml" Id="R72156f23d0d948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</x:cols>
  <x:sheetData>
    <x:row r="1">
      <x:c r="A1" s="30" t="str">
        <x:v>Level Grind Model Template</x:v>
      </x:c>
      <x:c r="B1" s="30"/>
      <x:c r="C1" s="30"/>
      <x:c r="D1" s="30"/>
      <x:c r="E1" s="30"/>
      <x:c r="F1" s="30"/>
      <x:c r="G1" s="30"/>
      <x:c r="H1" s="30"/>
    </x:row>
    <x:row r="2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31"/>
      <x:c r="B3" s="31"/>
      <x:c r="C3" s="31"/>
      <x:c r="D3" s="31"/>
      <x:c r="E3" s="31"/>
      <x:c r="F3" s="31"/>
      <x:c r="G3" s="31"/>
      <x:c r="H3" s="31"/>
    </x:row>
    <x:row r="4" ht="15" hidden="0" customHeight="1">
      <x:c r="A4" s="32" t="str">
        <x:v>Model purpose</x:v>
      </x:c>
      <x:c r="B4" s="31" t="str">
        <x:v>Template-compatible fundamental operating model</x:v>
      </x:c>
      <x:c r="C4" s="31"/>
      <x:c r="D4" s="31"/>
      <x:c r="E4" s="31"/>
      <x:c r="F4" s="31"/>
      <x:c r="G4" s="31"/>
      <x:c r="H4" s="31"/>
    </x:row>
    <x:row r="5" ht="15" hidden="0" customHeight="1">
      <x:c r="A5" s="32" t="str">
        <x:v>Company</x:v>
      </x:c>
      <x:c r="B5" s="31" t="str">
        <x:v>Example Technology Co.</x:v>
      </x:c>
      <x:c r="C5" s="31"/>
      <x:c r="D5" s="31"/>
      <x:c r="E5" s="31"/>
      <x:c r="F5" s="31"/>
      <x:c r="G5" s="31"/>
      <x:c r="H5" s="31"/>
    </x:row>
    <x:row r="6" ht="15" hidden="0" customHeight="1">
      <x:c r="A6" s="32" t="str">
        <x:v>Ticker</x:v>
      </x:c>
      <x:c r="B6" s="31" t="str">
        <x:v>DEMO</x:v>
      </x:c>
      <x:c r="C6" s="31"/>
      <x:c r="D6" s="31"/>
      <x:c r="E6" s="31"/>
      <x:c r="F6" s="31"/>
      <x:c r="G6" s="31"/>
      <x:c r="H6" s="31"/>
    </x:row>
    <x:row r="7" ht="15" hidden="0" customHeight="1">
      <x:c r="A7" s="32" t="str">
        <x:v>Sector</x:v>
      </x:c>
      <x:c r="B7" s="31" t="str">
        <x:v>Technology</x:v>
      </x:c>
      <x:c r="C7" s="31"/>
      <x:c r="D7" s="31"/>
      <x:c r="E7" s="31"/>
      <x:c r="F7" s="31"/>
      <x:c r="G7" s="31"/>
      <x:c r="H7" s="31"/>
    </x:row>
    <x:row r="8" ht="15" hidden="0" customHeight="1">
      <x:c r="A8" s="32" t="str">
        <x:v>Owner</x:v>
      </x:c>
      <x:c r="B8" s="31" t="str">
        <x:v>Analyst</x:v>
      </x:c>
      <x:c r="C8" s="31"/>
      <x:c r="D8" s="31"/>
      <x:c r="E8" s="31"/>
      <x:c r="F8" s="31"/>
      <x:c r="G8" s="31"/>
      <x:c r="H8" s="31"/>
    </x:row>
    <x:row r="9" ht="15" hidden="0" customHeight="1">
      <x:c r="A9" s="32" t="str">
        <x:v>Version</x:v>
      </x:c>
      <x:c r="B9" s="31" t="str">
        <x:v>v1.0</x:v>
      </x:c>
      <x:c r="C9" s="31"/>
      <x:c r="D9" s="31"/>
      <x:c r="E9" s="31"/>
      <x:c r="F9" s="31"/>
      <x:c r="G9" s="31"/>
      <x:c r="H9" s="31"/>
    </x:row>
    <x:row r="10" ht="15" hidden="0" customHeight="1">
      <x:c r="A10" s="32" t="str">
        <x:v>As of</x:v>
      </x:c>
      <x:c r="B10" s="33" t="n">
        <x:v>46231</x:v>
      </x:c>
      <x:c r="C10" s="31"/>
      <x:c r="D10" s="31"/>
      <x:c r="E10" s="31"/>
      <x:c r="F10" s="31"/>
      <x:c r="G10" s="31"/>
      <x:c r="H10" s="31"/>
    </x:row>
    <x:row r="11" ht="15" hidden="0" customHeight="1">
      <x:c r="A11" s="32" t="str">
        <x:v>Status</x:v>
      </x:c>
      <x:c r="B11" s="31" t="str">
        <x:v>Ready for review</x:v>
      </x:c>
      <x:c r="C11" s="31"/>
      <x:c r="D11" s="31"/>
      <x:c r="E11" s="31"/>
      <x:c r="F11" s="31"/>
      <x:c r="G11" s="31"/>
      <x:c r="H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</x:row>
    <x:row r="13" ht="15" hidden="0" customHeight="1">
      <x:c r="A13" s="34" t="str">
        <x:v>Blue font = editable input · Green font = linked formula · Black font = calculation · Yellow fill = review required</x:v>
      </x:c>
      <x:c r="B13" s="34"/>
      <x:c r="C13" s="34"/>
      <x:c r="D13" s="34"/>
      <x:c r="E13" s="34"/>
      <x:c r="F13" s="34"/>
      <x:c r="G13" s="34"/>
      <x:c r="H13" s="34"/>
    </x:row>
  </x:sheetData>
  <x:mergeCells>
    <x:mergeCell ref="A1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5.440000057220459" hidden="0" customWidth="1"/>
    <x:col min="4" max="4" width="7.78000020980835" hidden="0" customWidth="1"/>
    <x:col min="5" max="5" width="5.110000133514404" hidden="0" customWidth="1"/>
    <x:col min="6" max="6" width="22" hidden="0" customWidth="1"/>
    <x:col min="7" max="7" width="34" hidden="0" customWidth="1"/>
    <x:col min="8" max="8" width="9.109999656677246" hidden="0" customWidth="1"/>
    <x:col min="9" max="9" width="4" hidden="0" customWidth="1"/>
  </x:cols>
  <x:sheetData>
    <x:row r="1">
      <x:c r="A1" s="30" t="str">
        <x:v>Inputs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</x:row>
    <x:row r="3" ht="15" hidden="0" customHeight="1">
      <x:c r="A3" s="42" t="str">
        <x:v>Editable assumptions and source-linked historical inputs</x:v>
      </x:c>
      <x:c r="B3" s="42"/>
      <x:c r="C3" s="42"/>
      <x:c r="D3" s="42"/>
      <x:c r="E3" s="42"/>
      <x:c r="F3" s="42"/>
      <x:c r="G3" s="42"/>
      <x:c r="H3" s="42"/>
      <x:c r="I3" s="42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  <x:c r="I4" s="31"/>
    </x:row>
    <x:row r="5" ht="15" hidden="0" customHeight="1">
      <x:c r="A5" s="61" t="str">
        <x:v>Key</x:v>
      </x:c>
      <x:c r="B5" s="62" t="str">
        <x:v>Label</x:v>
      </x:c>
      <x:c r="C5" s="62" t="str">
        <x:v>Value</x:v>
      </x:c>
      <x:c r="D5" s="62" t="str">
        <x:v>Unit</x:v>
      </x:c>
      <x:c r="E5" s="62" t="str">
        <x:v>Period</x:v>
      </x:c>
      <x:c r="F5" s="62" t="str">
        <x:v>Source</x:v>
      </x:c>
      <x:c r="G5" s="62" t="str">
        <x:v>Source URL</x:v>
      </x:c>
      <x:c r="H5" s="62" t="str">
        <x:v>Source Date</x:v>
      </x:c>
      <x:c r="I5" s="63" t="str">
        <x:v>Stale</x:v>
      </x:c>
    </x:row>
    <x:row r="6" ht="15" hidden="0" customHeight="1">
      <x:c r="A6" s="64" t="str">
        <x:v>revenue_2025</x:v>
      </x:c>
      <x:c r="B6" s="65" t="str">
        <x:v>Revenue</x:v>
      </x:c>
      <x:c r="C6" s="66" t="n">
        <x:v>1250</x:v>
      </x:c>
      <x:c r="D6" s="65" t="str">
        <x:v>CNY mm</x:v>
      </x:c>
      <x:c r="E6" s="65" t="str">
        <x:v>2025A</x:v>
      </x:c>
      <x:c r="F6" s="65" t="str">
        <x:v>Annual report</x:v>
      </x:c>
      <x:c r="G6" s="65" t="str">
        <x:v>https://example.com/annual-report</x:v>
      </x:c>
      <x:c r="H6" s="67" t="n">
        <x:v>46101</x:v>
      </x:c>
      <x:c r="I6" s="68" t="b">
        <x:v>0</x:v>
      </x:c>
    </x:row>
    <x:row r="7" ht="15" hidden="0" customHeight="1">
      <x:c r="A7" s="64" t="str">
        <x:v>revenue_growth_2026</x:v>
      </x:c>
      <x:c r="B7" s="65" t="str">
        <x:v>Revenue growth</x:v>
      </x:c>
      <x:c r="C7" s="69" t="n">
        <x:v>0.12</x:v>
      </x:c>
      <x:c r="D7" s="65" t="str">
        <x:v>%</x:v>
      </x:c>
      <x:c r="E7" s="65" t="str">
        <x:v>2026E</x:v>
      </x:c>
      <x:c r="F7" s="65" t="str">
        <x:v>Analyst assumption</x:v>
      </x:c>
      <x:c r="G7" s="65" t="str"/>
      <x:c r="H7" s="67" t="n">
        <x:v>46231</x:v>
      </x:c>
      <x:c r="I7" s="68" t="b">
        <x:v>0</x:v>
      </x:c>
    </x:row>
    <x:row r="8" ht="15" hidden="0" customHeight="1">
      <x:c r="A8" s="64" t="str">
        <x:v>gross_margin_2026</x:v>
      </x:c>
      <x:c r="B8" s="65" t="str">
        <x:v>Gross margin</x:v>
      </x:c>
      <x:c r="C8" s="69" t="n">
        <x:v>0.38</x:v>
      </x:c>
      <x:c r="D8" s="65" t="str">
        <x:v>%</x:v>
      </x:c>
      <x:c r="E8" s="65" t="str">
        <x:v>2026E</x:v>
      </x:c>
      <x:c r="F8" s="65" t="str">
        <x:v>Analyst assumption</x:v>
      </x:c>
      <x:c r="G8" s="65" t="str"/>
      <x:c r="H8" s="67" t="n">
        <x:v>46231</x:v>
      </x:c>
      <x:c r="I8" s="68" t="b">
        <x:v>0</x:v>
      </x:c>
    </x:row>
    <x:row r="9" ht="15" hidden="0" customHeight="1">
      <x:c r="A9" s="64" t="str">
        <x:v>opex_2026</x:v>
      </x:c>
      <x:c r="B9" s="65" t="str">
        <x:v>Operating expenses</x:v>
      </x:c>
      <x:c r="C9" s="66" t="n">
        <x:v>260</x:v>
      </x:c>
      <x:c r="D9" s="65" t="str">
        <x:v>CNY mm</x:v>
      </x:c>
      <x:c r="E9" s="65" t="str">
        <x:v>2026E</x:v>
      </x:c>
      <x:c r="F9" s="65" t="str">
        <x:v>Analyst assumption</x:v>
      </x:c>
      <x:c r="G9" s="65" t="str"/>
      <x:c r="H9" s="67" t="n">
        <x:v>46231</x:v>
      </x:c>
      <x:c r="I9" s="68" t="b">
        <x:v>1</x:v>
      </x:c>
    </x:row>
    <x:row r="10" ht="15" hidden="0" customHeight="1">
      <x:c r="A10" s="64" t="str">
        <x:v>tax_rate</x:v>
      </x:c>
      <x:c r="B10" s="65" t="str">
        <x:v>Tax rate</x:v>
      </x:c>
      <x:c r="C10" s="69" t="n">
        <x:v>0.25</x:v>
      </x:c>
      <x:c r="D10" s="65" t="str">
        <x:v>%</x:v>
      </x:c>
      <x:c r="E10" s="65" t="str">
        <x:v>2026E</x:v>
      </x:c>
      <x:c r="F10" s="65" t="str">
        <x:v>Company guidance</x:v>
      </x:c>
      <x:c r="G10" s="65" t="str"/>
      <x:c r="H10" s="67" t="n">
        <x:v>46231</x:v>
      </x:c>
      <x:c r="I10" s="68" t="b">
        <x:v>0</x:v>
      </x:c>
    </x:row>
    <x:row r="11" ht="15" hidden="0" customHeight="1">
      <x:c r="A11" s="64" t="str">
        <x:v>shares_outstanding</x:v>
      </x:c>
      <x:c r="B11" s="65" t="str">
        <x:v>Shares outstanding</x:v>
      </x:c>
      <x:c r="C11" s="66" t="n">
        <x:v>300</x:v>
      </x:c>
      <x:c r="D11" s="65" t="str">
        <x:v>mm shares</x:v>
      </x:c>
      <x:c r="E11" s="65" t="str">
        <x:v>2026E</x:v>
      </x:c>
      <x:c r="F11" s="65" t="str">
        <x:v>Annual report</x:v>
      </x:c>
      <x:c r="G11" s="65" t="str">
        <x:v>https://example.com/annual-report</x:v>
      </x:c>
      <x:c r="H11" s="67" t="n">
        <x:v>46101</x:v>
      </x:c>
      <x:c r="I11" s="68" t="b">
        <x:v>0</x:v>
      </x:c>
    </x:row>
    <x:row r="12" ht="15" hidden="0" customHeight="1">
      <x:c r="A12" s="64" t="str">
        <x:v>net_debt</x:v>
      </x:c>
      <x:c r="B12" s="65" t="str">
        <x:v>Net debt</x:v>
      </x:c>
      <x:c r="C12" s="66" t="n">
        <x:v>450</x:v>
      </x:c>
      <x:c r="D12" s="65" t="str">
        <x:v>CNY mm</x:v>
      </x:c>
      <x:c r="E12" s="65" t="str">
        <x:v>2025A</x:v>
      </x:c>
      <x:c r="F12" s="65" t="str">
        <x:v>Annual report</x:v>
      </x:c>
      <x:c r="G12" s="65" t="str">
        <x:v>https://example.com/annual-report</x:v>
      </x:c>
      <x:c r="H12" s="67" t="n">
        <x:v>46101</x:v>
      </x:c>
      <x:c r="I12" s="68" t="b">
        <x:v>0</x:v>
      </x:c>
    </x:row>
    <x:row r="13">
      <x:c r="A13" s="70"/>
      <x:c r="B13" s="71"/>
      <x:c r="C13" s="71"/>
      <x:c r="D13" s="71"/>
      <x:c r="E13" s="71"/>
      <x:c r="F13" s="71"/>
      <x:c r="G13" s="71"/>
      <x:c r="H13" s="71"/>
      <x:c r="I13" s="72"/>
    </x:row>
    <x:row r="14">
      <x:c r="A14" s="70"/>
      <x:c r="B14" s="71"/>
      <x:c r="C14" s="71"/>
      <x:c r="D14" s="71"/>
      <x:c r="E14" s="71"/>
      <x:c r="F14" s="71"/>
      <x:c r="G14" s="71"/>
      <x:c r="H14" s="71"/>
      <x:c r="I14" s="72"/>
    </x:row>
    <x:row r="15">
      <x:c r="A15" s="70"/>
      <x:c r="B15" s="71"/>
      <x:c r="C15" s="71"/>
      <x:c r="D15" s="71"/>
      <x:c r="E15" s="71"/>
      <x:c r="F15" s="71"/>
      <x:c r="G15" s="71"/>
      <x:c r="H15" s="71"/>
      <x:c r="I15" s="72"/>
    </x:row>
    <x:row r="16">
      <x:c r="A16" s="70"/>
      <x:c r="B16" s="71"/>
      <x:c r="C16" s="71"/>
      <x:c r="D16" s="71"/>
      <x:c r="E16" s="71"/>
      <x:c r="F16" s="71"/>
      <x:c r="G16" s="71"/>
      <x:c r="H16" s="71"/>
      <x:c r="I16" s="72"/>
    </x:row>
    <x:row r="17">
      <x:c r="A17" s="70"/>
      <x:c r="B17" s="71"/>
      <x:c r="C17" s="71"/>
      <x:c r="D17" s="71"/>
      <x:c r="E17" s="71"/>
      <x:c r="F17" s="71"/>
      <x:c r="G17" s="71"/>
      <x:c r="H17" s="71"/>
      <x:c r="I17" s="72"/>
    </x:row>
    <x:row r="18">
      <x:c r="A18" s="70"/>
      <x:c r="B18" s="71"/>
      <x:c r="C18" s="71"/>
      <x:c r="D18" s="71"/>
      <x:c r="E18" s="71"/>
      <x:c r="F18" s="71"/>
      <x:c r="G18" s="71"/>
      <x:c r="H18" s="71"/>
      <x:c r="I18" s="72"/>
    </x:row>
    <x:row r="19">
      <x:c r="A19" s="70"/>
      <x:c r="B19" s="71"/>
      <x:c r="C19" s="71"/>
      <x:c r="D19" s="71"/>
      <x:c r="E19" s="71"/>
      <x:c r="F19" s="71"/>
      <x:c r="G19" s="71"/>
      <x:c r="H19" s="71"/>
      <x:c r="I19" s="72"/>
    </x:row>
    <x:row r="20">
      <x:c r="A20" s="73"/>
      <x:c r="B20" s="74"/>
      <x:c r="C20" s="74"/>
      <x:c r="D20" s="74"/>
      <x:c r="E20" s="74"/>
      <x:c r="F20" s="74"/>
      <x:c r="G20" s="74"/>
      <x:c r="H20" s="74"/>
      <x:c r="I20" s="75"/>
    </x:row>
  </x:sheetData>
  <x:mergeCells>
    <x:mergeCell ref="A1:I2"/>
    <x:mergeCell ref="A3:I3"/>
  </x:mergeCells>
  <x:pageMargins left="0.7" right="0.7" top="0.75" bottom="0.75" header="0.3" footer="0.3"/>
  <x:legacyDrawing xmlns:r="http://schemas.openxmlformats.org/officeDocument/2006/relationships" r:id="Ref3d894edf474ea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.329999923706055" hidden="0" customWidth="1"/>
    <x:col min="4" max="4" width="6.559999942779541" hidden="0" customWidth="1"/>
    <x:col min="5" max="5" width="5.110000133514404" hidden="0" customWidth="1"/>
    <x:col min="6" max="6" width="22" hidden="0" customWidth="1"/>
    <x:col min="7" max="7" width="34" hidden="0" customWidth="1"/>
    <x:col min="8" max="8" width="9.109999656677246" hidden="0" customWidth="1"/>
    <x:col min="9" max="9" width="4" hidden="0" customWidth="1"/>
  </x:cols>
  <x:sheetData>
    <x:row r="1">
      <x:c r="A1" s="30" t="str">
        <x:v>Calculations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</x:row>
    <x:row r="3" ht="15" hidden="0" customHeight="1">
      <x:c r="A3" s="42" t="str">
        <x:v>Formula-driven calculations</x:v>
      </x:c>
      <x:c r="B3" s="42"/>
      <x:c r="C3" s="42"/>
      <x:c r="D3" s="42"/>
      <x:c r="E3" s="42"/>
      <x:c r="F3" s="42"/>
      <x:c r="G3" s="42"/>
      <x:c r="H3" s="42"/>
      <x:c r="I3" s="42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  <x:c r="I4" s="31"/>
    </x:row>
    <x:row r="5" ht="15" hidden="0" customHeight="1">
      <x:c r="A5" s="61" t="str">
        <x:v>Key</x:v>
      </x:c>
      <x:c r="B5" s="62" t="str">
        <x:v>Label</x:v>
      </x:c>
      <x:c r="C5" s="62" t="str">
        <x:v>Value</x:v>
      </x:c>
      <x:c r="D5" s="62" t="str">
        <x:v>Unit</x:v>
      </x:c>
      <x:c r="E5" s="62" t="str">
        <x:v>Period</x:v>
      </x:c>
      <x:c r="F5" s="62" t="str">
        <x:v>Source</x:v>
      </x:c>
      <x:c r="G5" s="62" t="str">
        <x:v>Source URL</x:v>
      </x:c>
      <x:c r="H5" s="62" t="str">
        <x:v>Source Date</x:v>
      </x:c>
      <x:c r="I5" s="63" t="str">
        <x:v>Stale</x:v>
      </x:c>
    </x:row>
    <x:row r="6" ht="15" hidden="0" customHeight="1">
      <x:c r="A6" s="64" t="str">
        <x:v>revenue_2026</x:v>
      </x:c>
      <x:c r="B6" s="65" t="str">
        <x:v>Revenue</x:v>
      </x:c>
      <x:c r="C6" s="76" t="n">
        <x:f>'Inputs'!C6*(1+'Inputs'!C7)</x:f>
        <x:v>1400.0000000000002</x:v>
      </x:c>
      <x:c r="D6" s="65" t="str">
        <x:v>CNY mm</x:v>
      </x:c>
      <x:c r="E6" s="65" t="str">
        <x:v>2026E</x:v>
      </x:c>
      <x:c r="F6" s="77" t="str">
        <x:v>Inputs</x:v>
      </x:c>
      <x:c r="G6" s="65" t="str"/>
      <x:c r="H6" s="67" t="n">
        <x:v>46231</x:v>
      </x:c>
      <x:c r="I6" s="78" t="b">
        <x:v>0</x:v>
      </x:c>
    </x:row>
    <x:row r="7" ht="15" hidden="0" customHeight="1">
      <x:c r="A7" s="64" t="str">
        <x:v>gross_profit_2026</x:v>
      </x:c>
      <x:c r="B7" s="65" t="str">
        <x:v>Gross profit</x:v>
      </x:c>
      <x:c r="C7" s="76" t="n">
        <x:f>C6*'Inputs'!C8</x:f>
        <x:v>532.0000000000001</x:v>
      </x:c>
      <x:c r="D7" s="65" t="str">
        <x:v>CNY mm</x:v>
      </x:c>
      <x:c r="E7" s="65" t="str">
        <x:v>2026E</x:v>
      </x:c>
      <x:c r="F7" s="77" t="str">
        <x:v>Inputs</x:v>
      </x:c>
      <x:c r="G7" s="65" t="str"/>
      <x:c r="H7" s="67" t="n">
        <x:v>46231</x:v>
      </x:c>
      <x:c r="I7" s="78" t="b">
        <x:v>0</x:v>
      </x:c>
    </x:row>
    <x:row r="8" ht="15" hidden="0" customHeight="1">
      <x:c r="A8" s="64" t="str">
        <x:v>ebit_2026</x:v>
      </x:c>
      <x:c r="B8" s="65" t="str">
        <x:v>EBIT</x:v>
      </x:c>
      <x:c r="C8" s="76" t="n">
        <x:f>C7-'Inputs'!C9</x:f>
        <x:v>272.0000000000001</x:v>
      </x:c>
      <x:c r="D8" s="65" t="str">
        <x:v>CNY mm</x:v>
      </x:c>
      <x:c r="E8" s="65" t="str">
        <x:v>2026E</x:v>
      </x:c>
      <x:c r="F8" s="65" t="str">
        <x:v>Calculation</x:v>
      </x:c>
      <x:c r="G8" s="65" t="str"/>
      <x:c r="H8" s="67" t="n">
        <x:v>46231</x:v>
      </x:c>
      <x:c r="I8" s="78" t="b">
        <x:v>0</x:v>
      </x:c>
    </x:row>
    <x:row r="9" ht="15" hidden="0" customHeight="1">
      <x:c r="A9" s="64" t="str">
        <x:v>nopat_2026</x:v>
      </x:c>
      <x:c r="B9" s="65" t="str">
        <x:v>NOPAT</x:v>
      </x:c>
      <x:c r="C9" s="76" t="n">
        <x:f>C8*(1-'Inputs'!C10)</x:f>
        <x:v>204.00000000000009</x:v>
      </x:c>
      <x:c r="D9" s="65" t="str">
        <x:v>CNY mm</x:v>
      </x:c>
      <x:c r="E9" s="65" t="str">
        <x:v>2026E</x:v>
      </x:c>
      <x:c r="F9" s="65" t="str">
        <x:v>Calculation</x:v>
      </x:c>
      <x:c r="G9" s="65" t="str"/>
      <x:c r="H9" s="67" t="n">
        <x:v>46231</x:v>
      </x:c>
      <x:c r="I9" s="78" t="b">
        <x:v>0</x:v>
      </x:c>
    </x:row>
    <x:row r="10">
      <x:c r="A10" s="70"/>
      <x:c r="B10" s="71"/>
      <x:c r="C10" s="71"/>
      <x:c r="D10" s="71"/>
      <x:c r="E10" s="71"/>
      <x:c r="F10" s="71"/>
      <x:c r="G10" s="71"/>
      <x:c r="H10" s="71"/>
      <x:c r="I10" s="72"/>
    </x:row>
    <x:row r="11">
      <x:c r="A11" s="70"/>
      <x:c r="B11" s="71"/>
      <x:c r="C11" s="71"/>
      <x:c r="D11" s="71"/>
      <x:c r="E11" s="71"/>
      <x:c r="F11" s="71"/>
      <x:c r="G11" s="71"/>
      <x:c r="H11" s="71"/>
      <x:c r="I11" s="72"/>
    </x:row>
    <x:row r="12">
      <x:c r="A12" s="70"/>
      <x:c r="B12" s="71"/>
      <x:c r="C12" s="71"/>
      <x:c r="D12" s="71"/>
      <x:c r="E12" s="71"/>
      <x:c r="F12" s="71"/>
      <x:c r="G12" s="71"/>
      <x:c r="H12" s="71"/>
      <x:c r="I12" s="72"/>
    </x:row>
    <x:row r="13">
      <x:c r="A13" s="70"/>
      <x:c r="B13" s="71"/>
      <x:c r="C13" s="71"/>
      <x:c r="D13" s="71"/>
      <x:c r="E13" s="71"/>
      <x:c r="F13" s="71"/>
      <x:c r="G13" s="71"/>
      <x:c r="H13" s="71"/>
      <x:c r="I13" s="72"/>
    </x:row>
    <x:row r="14">
      <x:c r="A14" s="70"/>
      <x:c r="B14" s="71"/>
      <x:c r="C14" s="71"/>
      <x:c r="D14" s="71"/>
      <x:c r="E14" s="71"/>
      <x:c r="F14" s="71"/>
      <x:c r="G14" s="71"/>
      <x:c r="H14" s="71"/>
      <x:c r="I14" s="72"/>
    </x:row>
    <x:row r="15">
      <x:c r="A15" s="70"/>
      <x:c r="B15" s="71"/>
      <x:c r="C15" s="71"/>
      <x:c r="D15" s="71"/>
      <x:c r="E15" s="71"/>
      <x:c r="F15" s="71"/>
      <x:c r="G15" s="71"/>
      <x:c r="H15" s="71"/>
      <x:c r="I15" s="72"/>
    </x:row>
    <x:row r="16">
      <x:c r="A16" s="70"/>
      <x:c r="B16" s="71"/>
      <x:c r="C16" s="71"/>
      <x:c r="D16" s="71"/>
      <x:c r="E16" s="71"/>
      <x:c r="F16" s="71"/>
      <x:c r="G16" s="71"/>
      <x:c r="H16" s="71"/>
      <x:c r="I16" s="72"/>
    </x:row>
    <x:row r="17">
      <x:c r="A17" s="70"/>
      <x:c r="B17" s="71"/>
      <x:c r="C17" s="71"/>
      <x:c r="D17" s="71"/>
      <x:c r="E17" s="71"/>
      <x:c r="F17" s="71"/>
      <x:c r="G17" s="71"/>
      <x:c r="H17" s="71"/>
      <x:c r="I17" s="72"/>
    </x:row>
    <x:row r="18">
      <x:c r="A18" s="70"/>
      <x:c r="B18" s="71"/>
      <x:c r="C18" s="71"/>
      <x:c r="D18" s="71"/>
      <x:c r="E18" s="71"/>
      <x:c r="F18" s="71"/>
      <x:c r="G18" s="71"/>
      <x:c r="H18" s="71"/>
      <x:c r="I18" s="72"/>
    </x:row>
    <x:row r="19">
      <x:c r="A19" s="70"/>
      <x:c r="B19" s="71"/>
      <x:c r="C19" s="71"/>
      <x:c r="D19" s="71"/>
      <x:c r="E19" s="71"/>
      <x:c r="F19" s="71"/>
      <x:c r="G19" s="71"/>
      <x:c r="H19" s="71"/>
      <x:c r="I19" s="72"/>
    </x:row>
    <x:row r="20">
      <x:c r="A20" s="73"/>
      <x:c r="B20" s="74"/>
      <x:c r="C20" s="74"/>
      <x:c r="D20" s="74"/>
      <x:c r="E20" s="74"/>
      <x:c r="F20" s="74"/>
      <x:c r="G20" s="74"/>
      <x:c r="H20" s="74"/>
      <x:c r="I20" s="75"/>
    </x:row>
  </x:sheetData>
  <x:mergeCells>
    <x:mergeCell ref="A1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5.889999866485596" hidden="0" customWidth="1"/>
    <x:col min="4" max="4" width="7.78000020980835" hidden="0" customWidth="1"/>
    <x:col min="5" max="5" width="5.110000133514404" hidden="0" customWidth="1"/>
    <x:col min="6" max="6" width="22" hidden="0" customWidth="1"/>
    <x:col min="7" max="7" width="34" hidden="0" customWidth="1"/>
    <x:col min="8" max="8" width="9.109999656677246" hidden="0" customWidth="1"/>
    <x:col min="9" max="9" width="4" hidden="0" customWidth="1"/>
  </x:cols>
  <x:sheetData>
    <x:row r="1">
      <x:c r="A1" s="30" t="str">
        <x:v>Outputs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</x:row>
    <x:row r="3" ht="15" hidden="0" customHeight="1">
      <x:c r="A3" s="42" t="str">
        <x:v>Key outputs for review and export</x:v>
      </x:c>
      <x:c r="B3" s="42"/>
      <x:c r="C3" s="42"/>
      <x:c r="D3" s="42"/>
      <x:c r="E3" s="42"/>
      <x:c r="F3" s="42"/>
      <x:c r="G3" s="42"/>
      <x:c r="H3" s="42"/>
      <x:c r="I3" s="42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  <x:c r="I4" s="31"/>
    </x:row>
    <x:row r="5" ht="15" hidden="0" customHeight="1">
      <x:c r="A5" s="61" t="str">
        <x:v>Key</x:v>
      </x:c>
      <x:c r="B5" s="62" t="str">
        <x:v>Label</x:v>
      </x:c>
      <x:c r="C5" s="62" t="str">
        <x:v>Value</x:v>
      </x:c>
      <x:c r="D5" s="62" t="str">
        <x:v>Unit</x:v>
      </x:c>
      <x:c r="E5" s="62" t="str">
        <x:v>Period</x:v>
      </x:c>
      <x:c r="F5" s="62" t="str">
        <x:v>Source</x:v>
      </x:c>
      <x:c r="G5" s="62" t="str">
        <x:v>Source URL</x:v>
      </x:c>
      <x:c r="H5" s="62" t="str">
        <x:v>Source Date</x:v>
      </x:c>
      <x:c r="I5" s="63" t="str">
        <x:v>Stale</x:v>
      </x:c>
    </x:row>
    <x:row r="6" ht="15" hidden="0" customHeight="1">
      <x:c r="A6" s="64" t="str">
        <x:v>revenue_output</x:v>
      </x:c>
      <x:c r="B6" s="65" t="str">
        <x:v>Revenue</x:v>
      </x:c>
      <x:c r="C6" s="77" t="n">
        <x:f>'Calculations'!C6</x:f>
        <x:v>1400.0000000000002</x:v>
      </x:c>
      <x:c r="D6" s="65" t="str">
        <x:v>CNY mm</x:v>
      </x:c>
      <x:c r="E6" s="65" t="str">
        <x:v>2026E</x:v>
      </x:c>
      <x:c r="F6" s="65" t="str">
        <x:v>Calculations</x:v>
      </x:c>
      <x:c r="G6" s="65" t="str"/>
      <x:c r="H6" s="67" t="n">
        <x:v>46231</x:v>
      </x:c>
      <x:c r="I6" s="78" t="b">
        <x:v>0</x:v>
      </x:c>
    </x:row>
    <x:row r="7" ht="15" hidden="0" customHeight="1">
      <x:c r="A7" s="64" t="str">
        <x:v>ebit_output</x:v>
      </x:c>
      <x:c r="B7" s="65" t="str">
        <x:v>EBIT</x:v>
      </x:c>
      <x:c r="C7" s="77" t="n">
        <x:f>'Calculations'!C8</x:f>
        <x:v>272.0000000000001</x:v>
      </x:c>
      <x:c r="D7" s="65" t="str">
        <x:v>CNY mm</x:v>
      </x:c>
      <x:c r="E7" s="65" t="str">
        <x:v>2026E</x:v>
      </x:c>
      <x:c r="F7" s="65" t="str">
        <x:v>Calculations</x:v>
      </x:c>
      <x:c r="G7" s="65" t="str"/>
      <x:c r="H7" s="67" t="n">
        <x:v>46231</x:v>
      </x:c>
      <x:c r="I7" s="78" t="b">
        <x:v>0</x:v>
      </x:c>
    </x:row>
    <x:row r="8" ht="15" hidden="0" customHeight="1">
      <x:c r="A8" s="64" t="str">
        <x:v>ebit_margin_output</x:v>
      </x:c>
      <x:c r="B8" s="65" t="str">
        <x:v>EBIT margin</x:v>
      </x:c>
      <x:c r="C8" s="79" t="n">
        <x:f>C7/C6</x:f>
        <x:v>0.19428571428571434</x:v>
      </x:c>
      <x:c r="D8" s="65" t="str">
        <x:v>%</x:v>
      </x:c>
      <x:c r="E8" s="65" t="str">
        <x:v>2026E</x:v>
      </x:c>
      <x:c r="F8" s="65" t="str">
        <x:v>Calculations</x:v>
      </x:c>
      <x:c r="G8" s="65" t="str"/>
      <x:c r="H8" s="67" t="n">
        <x:v>46231</x:v>
      </x:c>
      <x:c r="I8" s="78" t="b">
        <x:v>0</x:v>
      </x:c>
    </x:row>
    <x:row r="9" ht="15" hidden="0" customHeight="1">
      <x:c r="A9" s="64" t="str">
        <x:v>eps_output</x:v>
      </x:c>
      <x:c r="B9" s="65" t="str">
        <x:v>EPS</x:v>
      </x:c>
      <x:c r="C9" s="80" t="n">
        <x:f>'Calculations'!C9/'Inputs'!C11</x:f>
        <x:v>0.6800000000000003</x:v>
      </x:c>
      <x:c r="D9" s="65" t="str">
        <x:v>CNY/share</x:v>
      </x:c>
      <x:c r="E9" s="65" t="str">
        <x:v>2026E</x:v>
      </x:c>
      <x:c r="F9" s="65" t="str">
        <x:v>Calculations</x:v>
      </x:c>
      <x:c r="G9" s="65" t="str"/>
      <x:c r="H9" s="67" t="n">
        <x:v>46231</x:v>
      </x:c>
      <x:c r="I9" s="78" t="b">
        <x:v>0</x:v>
      </x:c>
    </x:row>
    <x:row r="10" ht="15" hidden="0" customHeight="1">
      <x:c r="A10" s="64" t="str">
        <x:v>equity_value_output</x:v>
      </x:c>
      <x:c r="B10" s="65" t="str">
        <x:v>Illustrative equity value</x:v>
      </x:c>
      <x:c r="C10" s="80" t="n">
        <x:f>C7*10-'Inputs'!C12</x:f>
        <x:v>2270.000000000001</x:v>
      </x:c>
      <x:c r="D10" s="65" t="str">
        <x:v>CNY mm</x:v>
      </x:c>
      <x:c r="E10" s="65" t="str">
        <x:v>2026E</x:v>
      </x:c>
      <x:c r="F10" s="65" t="str">
        <x:v>10.0x EBIT assumption</x:v>
      </x:c>
      <x:c r="G10" s="65" t="str"/>
      <x:c r="H10" s="67" t="n">
        <x:v>46231</x:v>
      </x:c>
      <x:c r="I10" s="78" t="b">
        <x:v>0</x:v>
      </x:c>
    </x:row>
    <x:row r="11" ht="15" hidden="0" customHeight="1">
      <x:c r="A11" s="64" t="str">
        <x:v>share_price_output</x:v>
      </x:c>
      <x:c r="B11" s="65" t="str">
        <x:v>Illustrative value per share</x:v>
      </x:c>
      <x:c r="C11" s="80" t="n">
        <x:f>C10/'Inputs'!C11</x:f>
        <x:v>7.56666666666667</x:v>
      </x:c>
      <x:c r="D11" s="65" t="str">
        <x:v>CNY/share</x:v>
      </x:c>
      <x:c r="E11" s="65" t="str">
        <x:v>2026E</x:v>
      </x:c>
      <x:c r="F11" s="65" t="str">
        <x:v>Calculation</x:v>
      </x:c>
      <x:c r="G11" s="65" t="str"/>
      <x:c r="H11" s="67" t="n">
        <x:v>46231</x:v>
      </x:c>
      <x:c r="I11" s="78" t="b">
        <x:v>0</x:v>
      </x:c>
    </x:row>
    <x:row r="12">
      <x:c r="A12" s="70"/>
      <x:c r="B12" s="71"/>
      <x:c r="C12" s="71"/>
      <x:c r="D12" s="71"/>
      <x:c r="E12" s="71"/>
      <x:c r="F12" s="71"/>
      <x:c r="G12" s="71"/>
      <x:c r="H12" s="71"/>
      <x:c r="I12" s="72"/>
    </x:row>
    <x:row r="13">
      <x:c r="A13" s="70"/>
      <x:c r="B13" s="71"/>
      <x:c r="C13" s="71"/>
      <x:c r="D13" s="71"/>
      <x:c r="E13" s="71"/>
      <x:c r="F13" s="71"/>
      <x:c r="G13" s="71"/>
      <x:c r="H13" s="71"/>
      <x:c r="I13" s="72"/>
    </x:row>
    <x:row r="14">
      <x:c r="A14" s="70"/>
      <x:c r="B14" s="71"/>
      <x:c r="C14" s="71"/>
      <x:c r="D14" s="71"/>
      <x:c r="E14" s="71"/>
      <x:c r="F14" s="71"/>
      <x:c r="G14" s="71"/>
      <x:c r="H14" s="71"/>
      <x:c r="I14" s="72"/>
    </x:row>
    <x:row r="15">
      <x:c r="A15" s="70"/>
      <x:c r="B15" s="71"/>
      <x:c r="C15" s="71"/>
      <x:c r="D15" s="71"/>
      <x:c r="E15" s="71"/>
      <x:c r="F15" s="71"/>
      <x:c r="G15" s="71"/>
      <x:c r="H15" s="71"/>
      <x:c r="I15" s="72"/>
    </x:row>
    <x:row r="16">
      <x:c r="A16" s="70"/>
      <x:c r="B16" s="71"/>
      <x:c r="C16" s="71"/>
      <x:c r="D16" s="71"/>
      <x:c r="E16" s="71"/>
      <x:c r="F16" s="71"/>
      <x:c r="G16" s="71"/>
      <x:c r="H16" s="71"/>
      <x:c r="I16" s="72"/>
    </x:row>
    <x:row r="17">
      <x:c r="A17" s="70"/>
      <x:c r="B17" s="71"/>
      <x:c r="C17" s="71"/>
      <x:c r="D17" s="71"/>
      <x:c r="E17" s="71"/>
      <x:c r="F17" s="71"/>
      <x:c r="G17" s="71"/>
      <x:c r="H17" s="71"/>
      <x:c r="I17" s="72"/>
    </x:row>
    <x:row r="18">
      <x:c r="A18" s="70"/>
      <x:c r="B18" s="71"/>
      <x:c r="C18" s="71"/>
      <x:c r="D18" s="71"/>
      <x:c r="E18" s="71"/>
      <x:c r="F18" s="71"/>
      <x:c r="G18" s="71"/>
      <x:c r="H18" s="71"/>
      <x:c r="I18" s="72"/>
    </x:row>
    <x:row r="19">
      <x:c r="A19" s="70"/>
      <x:c r="B19" s="71"/>
      <x:c r="C19" s="71"/>
      <x:c r="D19" s="71"/>
      <x:c r="E19" s="71"/>
      <x:c r="F19" s="71"/>
      <x:c r="G19" s="71"/>
      <x:c r="H19" s="71"/>
      <x:c r="I19" s="72"/>
    </x:row>
    <x:row r="20">
      <x:c r="A20" s="73"/>
      <x:c r="B20" s="74"/>
      <x:c r="C20" s="74"/>
      <x:c r="D20" s="74"/>
      <x:c r="E20" s="74"/>
      <x:c r="F20" s="74"/>
      <x:c r="G20" s="74"/>
      <x:c r="H20" s="74"/>
      <x:c r="I20" s="75"/>
    </x:row>
  </x:sheetData>
  <x:mergeCells>
    <x:mergeCell ref="A1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7.329999923706055" hidden="0" customWidth="1"/>
    <x:col min="4" max="4" width="6.559999942779541" hidden="0" customWidth="1"/>
    <x:col min="5" max="5" width="9" hidden="0" customWidth="1"/>
    <x:col min="6" max="6" width="22.110000610351562" hidden="0" customWidth="1"/>
    <x:col min="7" max="7" width="8.109999656677246" hidden="0" customWidth="1"/>
    <x:col min="8" max="8" width="5.889999866485596" hidden="0" customWidth="1"/>
  </x:cols>
  <x:sheetData>
    <x:row r="1">
      <x:c r="A1" s="30" t="str">
        <x:v>Pending Variable Review</x:v>
      </x:c>
      <x:c r="B1" s="30"/>
      <x:c r="C1" s="30"/>
      <x:c r="D1" s="30"/>
      <x:c r="E1" s="30"/>
      <x:c r="F1" s="30"/>
      <x:c r="G1" s="30"/>
      <x:c r="H1" s="30"/>
    </x:row>
    <x:row r="2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31"/>
      <x:c r="B3" s="31"/>
      <x:c r="C3" s="31"/>
      <x:c r="D3" s="31"/>
      <x:c r="E3" s="31"/>
      <x:c r="F3" s="31"/>
      <x:c r="G3" s="31"/>
      <x:c r="H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</x:row>
    <x:row r="5" ht="15" hidden="0" customHeight="1">
      <x:c r="A5" s="43" t="str">
        <x:v>Variable</x:v>
      </x:c>
      <x:c r="B5" s="44" t="str">
        <x:v>Current</x:v>
      </x:c>
      <x:c r="C5" s="44" t="str">
        <x:v>Proposed</x:v>
      </x:c>
      <x:c r="D5" s="44" t="str">
        <x:v>Unit</x:v>
      </x:c>
      <x:c r="E5" s="44" t="str">
        <x:v>Source type</x:v>
      </x:c>
      <x:c r="F5" s="44" t="str">
        <x:v>Source</x:v>
      </x:c>
      <x:c r="G5" s="44" t="str">
        <x:v>Date</x:v>
      </x:c>
      <x:c r="H5" s="45" t="str">
        <x:v>Status</x:v>
      </x:c>
    </x:row>
    <x:row r="6" ht="15" hidden="0" customHeight="1">
      <x:c r="A6" s="31" t="str">
        <x:v>Operating expenses</x:v>
      </x:c>
      <x:c r="B6" s="31" t="n">
        <x:v>260</x:v>
      </x:c>
      <x:c r="C6" s="60"/>
      <x:c r="D6" s="31" t="str">
        <x:v>CNY mm</x:v>
      </x:c>
      <x:c r="E6" s="31" t="str">
        <x:v>Event</x:v>
      </x:c>
      <x:c r="F6" s="31" t="str">
        <x:v>Management cost-control update</x:v>
      </x:c>
      <x:c r="G6" s="33" t="n">
        <x:v>46227</x:v>
      </x:c>
      <x:c r="H6" s="31" t="str">
        <x:v>Pending</x:v>
      </x:c>
    </x:row>
    <x:row r="7" ht="15" hidden="0" customHeight="1">
      <x:c r="A7" s="31" t="str">
        <x:v>Revenue growth</x:v>
      </x:c>
      <x:c r="B7" s="31" t="n">
        <x:v>0.12</x:v>
      </x:c>
      <x:c r="C7" s="60"/>
      <x:c r="D7" s="31" t="str">
        <x:v>%</x:v>
      </x:c>
      <x:c r="E7" s="31" t="str">
        <x:v>Report</x:v>
      </x:c>
      <x:c r="F7" s="31" t="str">
        <x:v>2026 interim report</x:v>
      </x:c>
      <x:c r="G7" s="33" t="n">
        <x:v>46264</x:v>
      </x:c>
      <x:c r="H7" s="31" t="str">
        <x:v>Pending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.329999923706055" hidden="0" customWidth="1"/>
    <x:col min="4" max="4" width="7.78000020980835" hidden="0" customWidth="1"/>
    <x:col min="5" max="5" width="9.4399995803833" hidden="0" customWidth="1"/>
    <x:col min="6" max="6" width="16.329999923706055" hidden="0" customWidth="1"/>
    <x:col min="7" max="7" width="23" hidden="0" customWidth="1"/>
  </x:cols>
  <x:sheetData>
    <x:row r="1">
      <x:c r="A1" s="30" t="str">
        <x:v>Sources / Audit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3" ht="15" hidden="0" customHeight="1">
      <x:c r="A3" s="31"/>
      <x:c r="B3" s="31"/>
      <x:c r="C3" s="31"/>
      <x:c r="D3" s="31"/>
      <x:c r="E3" s="31"/>
      <x:c r="F3" s="31"/>
      <x:c r="G3" s="31"/>
    </x:row>
    <x:row r="4" ht="15" hidden="0" customHeight="1">
      <x:c r="A4" s="31"/>
      <x:c r="B4" s="31"/>
      <x:c r="C4" s="31"/>
      <x:c r="D4" s="31"/>
      <x:c r="E4" s="31"/>
      <x:c r="F4" s="31"/>
      <x:c r="G4" s="31"/>
    </x:row>
    <x:row r="5" ht="15" hidden="0" customHeight="1">
      <x:c r="A5" s="43" t="str">
        <x:v>Source ID</x:v>
      </x:c>
      <x:c r="B5" s="44" t="str">
        <x:v>Item</x:v>
      </x:c>
      <x:c r="C5" s="44" t="str">
        <x:v>Value</x:v>
      </x:c>
      <x:c r="D5" s="44" t="str">
        <x:v>Unit</x:v>
      </x:c>
      <x:c r="E5" s="44" t="str">
        <x:v>Period / date</x:v>
      </x:c>
      <x:c r="F5" s="44" t="str">
        <x:v>Source</x:v>
      </x:c>
      <x:c r="G5" s="45" t="str">
        <x:v>URL</x:v>
      </x:c>
    </x:row>
    <x:row r="6" ht="15" hidden="0" customHeight="1">
      <x:c r="A6" s="31" t="str">
        <x:v>SRC-001</x:v>
      </x:c>
      <x:c r="B6" s="31" t="str">
        <x:v>Revenue</x:v>
      </x:c>
      <x:c r="C6" s="31" t="n">
        <x:v>1250</x:v>
      </x:c>
      <x:c r="D6" s="31" t="str">
        <x:v>CNY mm</x:v>
      </x:c>
      <x:c r="E6" s="31" t="str">
        <x:v>2025A</x:v>
      </x:c>
      <x:c r="F6" s="31" t="str">
        <x:v>Illustrative annual report</x:v>
      </x:c>
      <x:c r="G6" s="31" t="str">
        <x:v>https://example.com/annual-report</x:v>
      </x:c>
    </x:row>
    <x:row r="7" ht="15" hidden="0" customHeight="1">
      <x:c r="A7" s="31" t="str">
        <x:v>SRC-002</x:v>
      </x:c>
      <x:c r="B7" s="31" t="str">
        <x:v>Shares outstanding</x:v>
      </x:c>
      <x:c r="C7" s="31" t="n">
        <x:v>300</x:v>
      </x:c>
      <x:c r="D7" s="31" t="str">
        <x:v>mm shares</x:v>
      </x:c>
      <x:c r="E7" s="31" t="str">
        <x:v>2025A</x:v>
      </x:c>
      <x:c r="F7" s="31" t="str">
        <x:v>Illustrative annual report</x:v>
      </x:c>
      <x:c r="G7" s="31" t="str">
        <x:v>https://example.com/annual-report</x:v>
      </x:c>
    </x:row>
    <x:row r="8" ht="15" hidden="0" customHeight="1">
      <x:c r="A8" s="31" t="str">
        <x:v>SRC-003</x:v>
      </x:c>
      <x:c r="B8" s="31" t="str">
        <x:v>Net debt</x:v>
      </x:c>
      <x:c r="C8" s="31" t="n">
        <x:v>450</x:v>
      </x:c>
      <x:c r="D8" s="31" t="str">
        <x:v>CNY mm</x:v>
      </x:c>
      <x:c r="E8" s="31" t="str">
        <x:v>2025A</x:v>
      </x:c>
      <x:c r="F8" s="31" t="str">
        <x:v>Illustrative annual report</x:v>
      </x:c>
      <x:c r="G8" s="31" t="str">
        <x:v>https://example.com/annual-report</x:v>
      </x:c>
    </x:row>
  </x:sheetData>
  <x:mergeCells>
    <x:mergeCell ref="A1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5.329999923706055" hidden="0" customWidth="1"/>
    <x:col min="4" max="4" width="5.78000020980835" hidden="0" customWidth="1"/>
    <x:col min="5" max="5" width="24.780000686645508" hidden="0" customWidth="1"/>
  </x:cols>
  <x:sheetData>
    <x:row r="1">
      <x:c r="A1" s="30" t="str">
        <x:v>Change Log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3" ht="15" hidden="0" customHeight="1">
      <x:c r="A3" s="31"/>
      <x:c r="B3" s="31"/>
      <x:c r="C3" s="31"/>
      <x:c r="D3" s="31"/>
      <x:c r="E3" s="31"/>
    </x:row>
    <x:row r="4" ht="15" hidden="0" customHeight="1">
      <x:c r="A4" s="31"/>
      <x:c r="B4" s="31"/>
      <x:c r="C4" s="31"/>
      <x:c r="D4" s="31"/>
      <x:c r="E4" s="31"/>
    </x:row>
    <x:row r="5" ht="15" hidden="0" customHeight="1">
      <x:c r="A5" s="43" t="str">
        <x:v>Version</x:v>
      </x:c>
      <x:c r="B5" s="44" t="str">
        <x:v>Date</x:v>
      </x:c>
      <x:c r="C5" s="44" t="str">
        <x:v>Owner</x:v>
      </x:c>
      <x:c r="D5" s="44" t="str">
        <x:v>Action</x:v>
      </x:c>
      <x:c r="E5" s="45" t="str">
        <x:v>Notes</x:v>
      </x:c>
    </x:row>
    <x:row r="6" ht="15" hidden="0" customHeight="1">
      <x:c r="A6" s="31" t="str">
        <x:v>v1.0</x:v>
      </x:c>
      <x:c r="B6" s="33" t="n">
        <x:v>46231</x:v>
      </x:c>
      <x:c r="C6" s="31" t="str">
        <x:v>Analyst</x:v>
      </x:c>
      <x:c r="D6" s="31" t="str">
        <x:v>Created</x:v>
      </x:c>
      <x:c r="E6" s="31" t="str">
        <x:v>Level Grind standard model template</x:v>
      </x:c>
    </x:row>
    <x:row r="7" ht="15" hidden="0" customHeight="1">
      <x:c r="A7" s="31" t="str">
        <x:v>v1.1</x:v>
      </x:c>
      <x:c r="B7" s="33"/>
      <x:c r="C7" s="31" t="str"/>
      <x:c r="D7" s="31" t="str"/>
      <x:c r="E7" s="31" t="str"/>
    </x:row>
  </x:sheetData>
  <x:mergeCells>
    <x:mergeCell ref="A1:E2"/>
  </x:mergeCells>
  <x:pageMargins left="0.7" right="0.7" top="0.75" bottom="0.75" header="0.3" footer="0.3"/>
</x:worksheet>
</file>