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b803aed80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7a974dde47a4fe2"/>
    <x:sheet xmlns:r="http://schemas.openxmlformats.org/officeDocument/2006/relationships" name="Historical" sheetId="2" r:id="Ra51d02d5118e47db"/>
    <x:sheet xmlns:r="http://schemas.openxmlformats.org/officeDocument/2006/relationships" name="Assumptions" sheetId="3" r:id="Rb51fa41cea344b3b"/>
    <x:sheet xmlns:r="http://schemas.openxmlformats.org/officeDocument/2006/relationships" name="Segment Model" sheetId="4" r:id="Re09a5f80e006488a"/>
    <x:sheet xmlns:r="http://schemas.openxmlformats.org/officeDocument/2006/relationships" name="DCF" sheetId="5" r:id="Rbe48073668184973"/>
    <x:sheet xmlns:r="http://schemas.openxmlformats.org/officeDocument/2006/relationships" name="SOTP" sheetId="6" r:id="Re522931ece194602"/>
    <x:sheet xmlns:r="http://schemas.openxmlformats.org/officeDocument/2006/relationships" name="Trading" sheetId="7" r:id="R7f422e6f50264c5b"/>
    <x:sheet xmlns:r="http://schemas.openxmlformats.org/officeDocument/2006/relationships" name="Sensitivity" sheetId="8" r:id="R9c72ea5095694970"/>
    <x:sheet xmlns:r="http://schemas.openxmlformats.org/officeDocument/2006/relationships" name="Checks" sheetId="9" r:id="R18ab51e585f24600"/>
    <x:sheet xmlns:r="http://schemas.openxmlformats.org/officeDocument/2006/relationships" name="Sources" sheetId="10" r:id="R9c86d4eeda0a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;[Red]($#,##0);-"/>
    <x:numFmt numFmtId="201" formatCode="0.0%;[Red](0.0%);-"/>
    <x:numFmt numFmtId="202" formatCode="$0.00;[Red]($0.00);-"/>
    <x:numFmt numFmtId="203" formatCode="0.000x"/>
    <x:numFmt numFmtId="204" formatCode="#,##0.0;[Red](#,##0.0);-"/>
    <x:numFmt numFmtId="205" formatCode="0.0x;[Red](0.0x);-"/>
    <x:numFmt numFmtId="206" formatCode="yyyy-mm-dd"/>
    <x:numFmt numFmtId="207" formatCode="$#,##0"/>
  </x:numFmts>
  <x:fonts count="9">
    <x:font>
      <x:sz val="11"/>
      <x:name val="Carlito"/>
    </x:font>
    <x:font>
      <x:sz val="10"/>
      <x:color rgb="FF000000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0"/>
      <x:color rgb="FF0B1F3A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6F9"/>
      </x:patternFill>
    </x:fill>
  </x:fills>
  <x:borders count="4">
    <x:border/>
    <x:border>
      <x:bottom style="thin">
        <x:color rgb="FF0B1F3A"/>
      </x:bottom>
    </x:border>
    <x:border>
      <x:bottom style="thin">
        <x:color rgb="FF17365D"/>
      </x:bottom>
    </x:border>
    <x:border>
      <x:top style="thin">
        <x:color rgb="FF0B1F3A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202" fontId="1" fillId="0" borderId="0" xfId="0" applyNumberFormat="1" applyFont="1" applyFill="1" applyBorder="1"/>
    <x:xf numFmtId="202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3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4" fontId="7" fillId="0" borderId="0" xfId="0" applyNumberFormat="1" applyFont="1" applyFill="1" applyBorder="1"/>
    <x:xf numFmtId="0" fontId="1" fillId="6" borderId="0" xfId="0" applyNumberFormat="1" applyFont="1" applyFill="1" applyBorder="1"/>
    <x:xf numFmtId="202" fontId="1" fillId="6" borderId="0" xfId="0" applyNumberFormat="1" applyFont="1" applyFill="1" applyBorder="1"/>
    <x:xf numFmtId="201" fontId="1" fillId="6" borderId="0" xfId="0" applyNumberFormat="1" applyFont="1" applyFill="1" applyBorder="1"/>
    <x:xf numFmtId="0" fontId="5" fillId="6" borderId="0" xfId="0" applyNumberFormat="1" applyFont="1" applyFill="1" applyBorder="1"/>
    <x:xf numFmtId="202" fontId="5" fillId="6" borderId="0" xfId="0" applyNumberFormat="1" applyFont="1" applyFill="1" applyBorder="1"/>
    <x:xf numFmtId="201" fontId="5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1" fillId="7" borderId="0" xfId="0" applyNumberFormat="1" applyFont="1" applyFill="1" applyBorder="1"/>
    <x:xf numFmtId="201" fontId="1" fillId="7" borderId="0" xfId="0" applyNumberFormat="1" applyFont="1" applyFill="1" applyBorder="1"/>
    <x:xf numFmtId="207" fontId="1" fillId="7" borderId="0" xfId="0" applyNumberFormat="1" applyFont="1" applyFill="1" applyBorder="1"/>
    <x:xf numFmtId="201" fontId="4" fillId="4" borderId="2" xfId="0" applyNumberFormat="1" applyFont="1" applyFill="1" applyBorder="1" applyAlignment="1">
      <x:alignment horizontal="right"/>
    </x:xf>
    <x:xf numFmtId="205" fontId="4" fillId="4" borderId="2" xfId="0" applyNumberFormat="1" applyFont="1" applyFill="1" applyBorder="1" applyAlignment="1">
      <x:alignment horizontal="right"/>
    </x:xf>
    <x:xf numFmtId="0" fontId="5" fillId="6" borderId="3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2" fontId="7" fillId="6" borderId="0" xfId="0" applyNumberFormat="1" applyFont="1" applyFill="1" applyBorder="1"/>
    <x:xf numFmtId="201" fontId="7" fillId="6" borderId="0" xfId="0" applyNumberFormat="1" applyFont="1" applyFill="1" applyBorder="1"/>
    <x:xf numFmtId="202" fontId="8" fillId="6" borderId="0" xfId="0" applyNumberFormat="1" applyFont="1" applyFill="1" applyBorder="1"/>
    <x:xf numFmtId="201" fontId="8" fillId="6" borderId="0" xfId="0" applyNumberFormat="1" applyFont="1" applyFill="1" applyBorder="1"/>
    <x:xf numFmtId="0" fontId="8" fillId="6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2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207" fontId="1" fillId="7" borderId="0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horizontal="right" vertical="center"/>
    </x:xf>
    <x:xf numFmtId="205" fontId="4" fillId="4" borderId="2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83125a2054bfe" /><Relationship Type="http://schemas.openxmlformats.org/officeDocument/2006/relationships/theme" Target="/xl/theme/theme1.xml" Id="R60645bf9c448432c" /><Relationship Type="http://schemas.openxmlformats.org/officeDocument/2006/relationships/sharedStrings" Target="/xl/sharedStrings.xml" Id="Ra5ecb8128a844b3e" /><Relationship Type="http://schemas.openxmlformats.org/officeDocument/2006/relationships/worksheet" Target="/xl/worksheets/sheet1.xml" Id="R77a974dde47a4fe2" /><Relationship Type="http://schemas.openxmlformats.org/officeDocument/2006/relationships/worksheet" Target="/xl/worksheets/sheet2.xml" Id="Ra51d02d5118e47db" /><Relationship Type="http://schemas.openxmlformats.org/officeDocument/2006/relationships/worksheet" Target="/xl/worksheets/sheet3.xml" Id="Rb51fa41cea344b3b" /><Relationship Type="http://schemas.openxmlformats.org/officeDocument/2006/relationships/worksheet" Target="/xl/worksheets/sheet4.xml" Id="Re09a5f80e006488a" /><Relationship Type="http://schemas.openxmlformats.org/officeDocument/2006/relationships/worksheet" Target="/xl/worksheets/sheet5.xml" Id="Rbe48073668184973" /><Relationship Type="http://schemas.openxmlformats.org/officeDocument/2006/relationships/worksheet" Target="/xl/worksheets/sheet6.xml" Id="Re522931ece194602" /><Relationship Type="http://schemas.openxmlformats.org/officeDocument/2006/relationships/worksheet" Target="/xl/worksheets/sheet7.xml" Id="R7f422e6f50264c5b" /><Relationship Type="http://schemas.openxmlformats.org/officeDocument/2006/relationships/worksheet" Target="/xl/worksheets/sheet8.xml" Id="R9c72ea5095694970" /><Relationship Type="http://schemas.openxmlformats.org/officeDocument/2006/relationships/worksheet" Target="/xl/worksheets/sheet9.xml" Id="R18ab51e585f24600" /><Relationship Type="http://schemas.openxmlformats.org/officeDocument/2006/relationships/worksheet" Target="/xl/worksheets/sheet10.xml" Id="R9c86d4eeda0a43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(NASDAQ: SPCX) | Buy-Side Valuation Model</x:v>
      </x:c>
      <x:c r="C2" s="56"/>
      <x:c r="D2" s="56"/>
      <x:c r="E2" s="56"/>
      <x:c r="F2" s="56"/>
      <x:c r="G2" s="56"/>
      <x:c r="H2" s="56"/>
      <x:c r="I2" s="56"/>
      <x:c r="J2" s="56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 t="str">
        <x:v>As of 2026-07-28 | USD in millions except per share | Base case selected</x:v>
      </x:c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57" t="str">
        <x:v>Recommendation Snapshot</x:v>
      </x:c>
      <x:c r="C5" s="57" t="str">
        <x:v>Recommendation Snapshot</x:v>
      </x:c>
      <x:c r="D5" s="57" t="str">
        <x:v>Recommendation Snapshot</x:v>
      </x:c>
      <x:c r="E5" s="57" t="str">
        <x:v>Recommendation Snapshot</x:v>
      </x:c>
      <x:c r="F5" s="57" t="str">
        <x:v>Recommendation Snapshot</x:v>
      </x:c>
      <x:c r="G5" s="57" t="str">
        <x:v>Recommendation Snapshot</x:v>
      </x:c>
      <x:c r="H5" s="57" t="str">
        <x:v>Recommendation Snapshot</x:v>
      </x:c>
      <x:c r="I5" s="57" t="str">
        <x:v>Recommendation Snapshot</x:v>
      </x:c>
      <x:c r="J5" s="57" t="str">
        <x:v>Recommendation Snapshot</x:v>
      </x:c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55" t="str">
        <x:v>Current price</x:v>
      </x:c>
      <x:c r="C6" s="58" t="n">
        <x:f>'Assumptions'!C11</x:f>
        <x:v>113.5</x:v>
      </x:c>
      <x:c r="D6" s="55"/>
      <x:c r="E6" s="55" t="str">
        <x:v>2025 Revenue</x:v>
      </x:c>
      <x:c r="F6" s="59" t="n">
        <x:f>'Historical'!E7</x:f>
        <x:v>18674</x:v>
      </x:c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55" t="str">
        <x:v>IPO price</x:v>
      </x:c>
      <x:c r="C7" s="58" t="n">
        <x:f>'Assumptions'!C12</x:f>
        <x:v>135</x:v>
      </x:c>
      <x:c r="D7" s="55"/>
      <x:c r="E7" s="55" t="str">
        <x:v>2025 Adj. EBITDA</x:v>
      </x:c>
      <x:c r="F7" s="59" t="n">
        <x:f>'Historical'!E9</x:f>
        <x:v>6584</x:v>
      </x:c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60" t="str">
        <x:v>SOTP value / share</x:v>
      </x:c>
      <x:c r="C8" s="61" t="n">
        <x:f>'SOTP'!C16</x:f>
        <x:v>22.55482662394044</x:v>
      </x:c>
      <x:c r="D8" s="55"/>
      <x:c r="E8" s="55" t="str">
        <x:v>2026E Revenue</x:v>
      </x:c>
      <x:c r="F8" s="59" t="n">
        <x:f>'Segment Model'!F13</x:f>
        <x:v>23608.41</x:v>
      </x:c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60" t="str">
        <x:v>DCF value / share</x:v>
      </x:c>
      <x:c r="C9" s="61" t="n">
        <x:f>'DCF'!C32</x:f>
        <x:v>13.830594162320015</x:v>
      </x:c>
      <x:c r="D9" s="55"/>
      <x:c r="E9" s="55" t="str">
        <x:v>2026E Adj. EBITDA</x:v>
      </x:c>
      <x:c r="F9" s="59" t="n">
        <x:f>'Segment Model'!F24</x:f>
        <x:v>7812.620700000001</x:v>
      </x:c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60" t="str">
        <x:v>SOTP upside / (downside)</x:v>
      </x:c>
      <x:c r="C10" s="62" t="n">
        <x:f>'SOTP'!C17</x:f>
        <x:v>-0.8012790605820226</x:v>
      </x:c>
      <x:c r="D10" s="55"/>
      <x:c r="E10" s="55" t="str">
        <x:v>Latest vs IPO</x:v>
      </x:c>
      <x:c r="F10" s="63" t="n">
        <x:f>'Trading'!C13</x:f>
        <x:v>-0.1592592592592592</x:v>
      </x:c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55" t="str">
        <x:v>Selected case</x:v>
      </x:c>
      <x:c r="C11" s="64" t="str">
        <x:f>'Assumptions'!C3</x:f>
        <x:v>Base</x:v>
      </x:c>
      <x:c r="D11" s="55"/>
      <x:c r="E11" s="55" t="str">
        <x:v>Latest vs peak</x:v>
      </x:c>
      <x:c r="F11" s="63" t="n">
        <x:f>'Trading'!C15</x:f>
        <x:v>-0.4969863499379542</x:v>
      </x:c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57" t="str">
        <x:v>Investment View</x:v>
      </x:c>
      <x:c r="C13" s="57" t="str">
        <x:v>Investment View</x:v>
      </x:c>
      <x:c r="D13" s="57" t="str">
        <x:v>Investment View</x:v>
      </x:c>
      <x:c r="E13" s="57" t="str">
        <x:v>Investment View</x:v>
      </x:c>
      <x:c r="F13" s="57" t="str">
        <x:v>Investment View</x:v>
      </x:c>
      <x:c r="G13" s="57" t="str">
        <x:v>Investment View</x:v>
      </x:c>
      <x:c r="H13" s="57" t="str">
        <x:v>Investment View</x:v>
      </x:c>
      <x:c r="I13" s="57" t="str">
        <x:v>Investment View</x:v>
      </x:c>
      <x:c r="J13" s="57" t="str">
        <x:v>Investment View</x:v>
      </x:c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 ht="42" customHeight="1">
      <x:c r="A14" s="1"/>
      <x:c r="B14" s="65" t="str">
        <x:v>What the market is pricing</x:v>
      </x:c>
      <x:c r="C14" s="65" t="str">
        <x:v>At $113.50, implied equity value remains ~US$1.55tn despite a ~49.7% drawdown from the post-IPO peak. The debate is not launch leadership; it is whether Connectivity can fund a prolonged AI / Starship capex cycle while preserving premium margins.</x:v>
      </x:c>
      <x:c r="D14" s="65"/>
      <x:c r="E14" s="65"/>
      <x:c r="F14" s="65"/>
      <x:c r="G14" s="65"/>
      <x:c r="H14" s="65"/>
      <x:c r="I14" s="65"/>
      <x:c r="J14" s="6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 ht="42" customHeight="1">
      <x:c r="A15" s="1"/>
      <x:c r="B15" s="65" t="str">
        <x:v>Core bull case</x:v>
      </x:c>
      <x:c r="C15" s="65" t="str">
        <x:v>Starlink compounds subscribers and enterprise/mobile adoption; Starship lowers delivered cost to orbit; AI monetization scales before orbital compute spending peaks.</x:v>
      </x:c>
      <x:c r="D15" s="65"/>
      <x:c r="E15" s="65"/>
      <x:c r="F15" s="65"/>
      <x:c r="G15" s="65"/>
      <x:c r="H15" s="65"/>
      <x:c r="I15" s="65"/>
      <x:c r="J15" s="6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 ht="42" customHeight="1">
      <x:c r="A16" s="1"/>
      <x:c r="B16" s="65" t="str">
        <x:v>Core bear case</x:v>
      </x:c>
      <x:c r="C16" s="65" t="str">
        <x:v>ARPU dilution and capacity cap Connectivity economics; Starship cadence slips; AI absorbs capital for longer and xAI-related governance / capital allocation discounts persist.</x:v>
      </x:c>
      <x:c r="D16" s="65"/>
      <x:c r="E16" s="65"/>
      <x:c r="F16" s="65"/>
      <x:c r="G16" s="65"/>
      <x:c r="H16" s="65"/>
      <x:c r="I16" s="65"/>
      <x:c r="J16" s="6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 ht="42" customHeight="1">
      <x:c r="A17" s="1"/>
      <x:c r="B17" s="65" t="str">
        <x:v>Primary valuation</x:v>
      </x:c>
      <x:c r="C17" s="65" t="str">
        <x:v>SOTP on 2028E metrics, discounted two years. DCF is a cross-check because near-term FCF is dominated by discretionary growth capex and produces extreme terminal-value sensitivity.</x:v>
      </x:c>
      <x:c r="D17" s="65"/>
      <x:c r="E17" s="65"/>
      <x:c r="F17" s="65"/>
      <x:c r="G17" s="65"/>
      <x:c r="H17" s="65"/>
      <x:c r="I17" s="65"/>
      <x:c r="J17" s="6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 ht="42" customHeight="1">
      <x:c r="A18" s="1"/>
      <x:c r="B18" s="65" t="str">
        <x:v>Catalysts / risks</x:v>
      </x:c>
      <x:c r="C18" s="65" t="str">
        <x:v>Catalysts: Starship cadence, subscriber additions, mobile/enterprise mix, AI revenue conversion. Risks: launch/regulatory failures, spectrum constraints, capex overrun, governance, lock-up supply.</x:v>
      </x:c>
      <x:c r="D18" s="65"/>
      <x:c r="E18" s="65"/>
      <x:c r="F18" s="65"/>
      <x:c r="G18" s="65"/>
      <x:c r="H18" s="65"/>
      <x:c r="I18" s="65"/>
      <x:c r="J18" s="6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57" t="str">
        <x:v>Model Navigation</x:v>
      </x:c>
      <x:c r="C20" s="57" t="str">
        <x:v>Model Navigation</x:v>
      </x:c>
      <x:c r="D20" s="57" t="str">
        <x:v>Model Navigation</x:v>
      </x:c>
      <x:c r="E20" s="57" t="str">
        <x:v>Model Navigation</x:v>
      </x:c>
      <x:c r="F20" s="57" t="str">
        <x:v>Model Navigation</x:v>
      </x:c>
      <x:c r="G20" s="57" t="str">
        <x:v>Model Navigation</x:v>
      </x:c>
      <x:c r="H20" s="57" t="str">
        <x:v>Model Navigation</x:v>
      </x:c>
      <x:c r="I20" s="57" t="str">
        <x:v>Model Navigation</x:v>
      </x:c>
      <x:c r="J20" s="57" t="str">
        <x:v>Model Navigation</x:v>
      </x:c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 t="str">
        <x:v>Historical</x:v>
      </x:c>
      <x:c r="C21" s="55" t="str">
        <x:v>Filed financials and operating data</x:v>
      </x:c>
      <x:c r="D21" s="55" t="str">
        <x:v>Assumptions</x:v>
      </x:c>
      <x:c r="E21" s="55" t="str">
        <x:v>Bear/Base/Bull drivers</x:v>
      </x:c>
      <x:c r="F21" s="55" t="str">
        <x:v>Segment Model</x:v>
      </x:c>
      <x:c r="G21" s="55" t="str">
        <x:v>Revenue and EBITDA build</x:v>
      </x:c>
      <x:c r="H21" s="55" t="str">
        <x:v>DCF</x:v>
      </x:c>
      <x:c r="I21" s="55" t="str">
        <x:v>FCF valuation</x:v>
      </x:c>
      <x:c r="J21" s="55" t="str">
        <x:v>SOTP</x:v>
      </x:c>
      <x:c r="K21" s="55" t="str">
        <x:v>Primary valuation</x:v>
      </x:c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 t="str">
        <x:v>Trading</x:v>
      </x:c>
      <x:c r="C22" s="55" t="str">
        <x:v>IPO-to-date milestones</x:v>
      </x:c>
      <x:c r="D22" s="55" t="str">
        <x:v>Sensitivity</x:v>
      </x:c>
      <x:c r="E22" s="55" t="str">
        <x:v>Two-variable valuation tables</x:v>
      </x:c>
      <x:c r="F22" s="55" t="str">
        <x:v>Checks</x:v>
      </x:c>
      <x:c r="G22" s="55" t="str">
        <x:v>Audit assertions</x:v>
      </x:c>
      <x:c r="H22" s="55" t="str">
        <x:v>Sources</x:v>
      </x:c>
      <x:c r="I22" s="55" t="str">
        <x:v>URLs and limitations</x:v>
      </x:c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 t="str">
        <x:v>Color convention</x:v>
      </x:c>
      <x:c r="C23" s="55" t="str">
        <x:v>Blue = editable | Green = linked | Black = formula</x:v>
      </x:c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66" t="str">
        <x:v>Model status</x:v>
      </x:c>
      <x:c r="C24" s="67" t="str">
        <x:f>'Checks'!G11</x:f>
        <x:v>OK</x:v>
      </x:c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J2"/>
    <x:mergeCell ref="B5:J5"/>
    <x:mergeCell ref="B13:J13"/>
    <x:mergeCell ref="C14:J14"/>
    <x:mergeCell ref="C15:J15"/>
    <x:mergeCell ref="C16:J16"/>
    <x:mergeCell ref="C17:J17"/>
    <x:mergeCell ref="C18:J18"/>
    <x:mergeCell ref="B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Historical Financials &amp; Operating KPIs</x:v>
      </x:c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 t="str">
        <x:v>USD in millions, except per-share and operating data</x:v>
      </x:c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57" t="str">
        <x:v>Consolidated Financials</x:v>
      </x:c>
      <x:c r="C5" s="57" t="str">
        <x:v>Consolidated Financials</x:v>
      </x:c>
      <x:c r="D5" s="57" t="str">
        <x:v>Consolidated Financials</x:v>
      </x:c>
      <x:c r="E5" s="57" t="str">
        <x:v>Consolidated Financials</x:v>
      </x:c>
      <x:c r="F5" s="57" t="str">
        <x:v>Consolidated Financials</x:v>
      </x:c>
      <x:c r="G5" s="57" t="str">
        <x:v>Consolidated Financials</x:v>
      </x:c>
      <x:c r="H5" s="57" t="str">
        <x:v>Consolidated Financials</x:v>
      </x:c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68" t="str"/>
      <x:c r="C6" s="68" t="str">
        <x:v>2023A</x:v>
      </x:c>
      <x:c r="D6" s="68" t="str">
        <x:v>2024A</x:v>
      </x:c>
      <x:c r="E6" s="68" t="str">
        <x:v>2025A</x:v>
      </x:c>
      <x:c r="F6" s="68" t="str">
        <x:v>Q1 2025A</x:v>
      </x:c>
      <x:c r="G6" s="68" t="str">
        <x:v>Q1 2026A</x:v>
      </x:c>
      <x:c r="H6" s="68" t="str">
        <x:v>Source ID</x:v>
      </x:c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55" t="str">
        <x:v>Revenue</x:v>
      </x:c>
      <x:c r="C7" s="69" t="n">
        <x:v>10387</x:v>
      </x:c>
      <x:c r="D7" s="69" t="n">
        <x:v>14015</x:v>
      </x:c>
      <x:c r="E7" s="69" t="n">
        <x:v>18674</x:v>
      </x:c>
      <x:c r="F7" s="69" t="n">
        <x:v>4067</x:v>
      </x:c>
      <x:c r="G7" s="69" t="n">
        <x:v>4694</x:v>
      </x:c>
      <x:c r="H7" s="55" t="str">
        <x:v>S1</x:v>
      </x:c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55" t="str">
        <x:v>YoY growth</x:v>
      </x:c>
      <x:c r="C8" s="70"/>
      <x:c r="D8" s="70" t="n">
        <x:f>D7/C7-1</x:f>
        <x:v>0.3492827572927699</x:v>
      </x:c>
      <x:c r="E8" s="70" t="n">
        <x:f>E7/D7-1</x:f>
        <x:v>0.3324295397788084</x:v>
      </x:c>
      <x:c r="F8" s="70"/>
      <x:c r="G8" s="70" t="n">
        <x:f>G7/F7-1</x:f>
        <x:v>0.15416769117285467</x:v>
      </x:c>
      <x:c r="H8" s="55" t="str">
        <x:v>S1</x:v>
      </x:c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55" t="str">
        <x:v>Adjusted EBITDA</x:v>
      </x:c>
      <x:c r="C9" s="69" t="n">
        <x:v>3821</x:v>
      </x:c>
      <x:c r="D9" s="69" t="n">
        <x:v>5350</x:v>
      </x:c>
      <x:c r="E9" s="69" t="n">
        <x:v>6584</x:v>
      </x:c>
      <x:c r="F9" s="69" t="n">
        <x:v>1730</x:v>
      </x:c>
      <x:c r="G9" s="69" t="n">
        <x:v>1127</x:v>
      </x:c>
      <x:c r="H9" s="55" t="str">
        <x:v>S1</x:v>
      </x:c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55" t="str">
        <x:v>Adj. EBITDA margin</x:v>
      </x:c>
      <x:c r="C10" s="70" t="n">
        <x:f>C9/C7</x:f>
        <x:v>0.3678636757485318</x:v>
      </x:c>
      <x:c r="D10" s="70" t="n">
        <x:f>D9/D7</x:f>
        <x:v>0.3817338565822333</x:v>
      </x:c>
      <x:c r="E10" s="70" t="n">
        <x:f>E9/E7</x:f>
        <x:v>0.35257577380314875</x:v>
      </x:c>
      <x:c r="F10" s="70" t="n">
        <x:f>F9/F7</x:f>
        <x:v>0.4253749692648144</x:v>
      </x:c>
      <x:c r="G10" s="70" t="n">
        <x:f>G9/G7</x:f>
        <x:v>0.24009373668512995</x:v>
      </x:c>
      <x:c r="H10" s="55" t="str">
        <x:v>S1</x:v>
      </x:c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55" t="str">
        <x:v>Operating income (loss)</x:v>
      </x:c>
      <x:c r="C11" s="69" t="n">
        <x:v>-3505</x:v>
      </x:c>
      <x:c r="D11" s="69" t="n">
        <x:v>466</x:v>
      </x:c>
      <x:c r="E11" s="69" t="n">
        <x:v>-2589</x:v>
      </x:c>
      <x:c r="F11" s="69" t="n">
        <x:v>27</x:v>
      </x:c>
      <x:c r="G11" s="69" t="n">
        <x:v>-1943</x:v>
      </x:c>
      <x:c r="H11" s="55" t="str">
        <x:v>S1</x:v>
      </x:c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5" t="str">
        <x:v>Net income (loss)</x:v>
      </x:c>
      <x:c r="C12" s="69" t="n">
        <x:v>-4628</x:v>
      </x:c>
      <x:c r="D12" s="69" t="n">
        <x:v>791</x:v>
      </x:c>
      <x:c r="E12" s="69" t="n">
        <x:v>-4937</x:v>
      </x:c>
      <x:c r="F12" s="69" t="n">
        <x:v>-528</x:v>
      </x:c>
      <x:c r="G12" s="69" t="n">
        <x:v>-4276</x:v>
      </x:c>
      <x:c r="H12" s="55" t="str">
        <x:v>S1</x:v>
      </x:c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55" t="str">
        <x:v>CFO</x:v>
      </x:c>
      <x:c r="C13" s="69" t="n">
        <x:v>4520</x:v>
      </x:c>
      <x:c r="D13" s="69" t="n">
        <x:v>5776</x:v>
      </x:c>
      <x:c r="E13" s="69" t="n">
        <x:v>6785</x:v>
      </x:c>
      <x:c r="F13" s="69" t="n">
        <x:v>727</x:v>
      </x:c>
      <x:c r="G13" s="69" t="n">
        <x:v>1047</x:v>
      </x:c>
      <x:c r="H13" s="55" t="str">
        <x:v>S1</x:v>
      </x:c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55" t="str">
        <x:v>Capital expenditures</x:v>
      </x:c>
      <x:c r="C14" s="69" t="n">
        <x:v>4867</x:v>
      </x:c>
      <x:c r="D14" s="69" t="n">
        <x:v>10796</x:v>
      </x:c>
      <x:c r="E14" s="69" t="n">
        <x:v>19575</x:v>
      </x:c>
      <x:c r="F14" s="69" t="n">
        <x:v>4140</x:v>
      </x:c>
      <x:c r="G14" s="69" t="n">
        <x:v>10107</x:v>
      </x:c>
      <x:c r="H14" s="55" t="str">
        <x:v>S1</x:v>
      </x:c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71" t="str">
        <x:v>Unlevered proxy (CFO - capex)</x:v>
      </x:c>
      <x:c r="C15" s="72" t="n">
        <x:f>C13-C14</x:f>
        <x:v>-347</x:v>
      </x:c>
      <x:c r="D15" s="72" t="n">
        <x:f>D13-D14</x:f>
        <x:v>-5020</x:v>
      </x:c>
      <x:c r="E15" s="72" t="n">
        <x:f>E13-E14</x:f>
        <x:v>-12790</x:v>
      </x:c>
      <x:c r="F15" s="72" t="n">
        <x:f>F13-F14</x:f>
        <x:v>-3413</x:v>
      </x:c>
      <x:c r="G15" s="72" t="n">
        <x:f>G13-G14</x:f>
        <x:v>-9060</x:v>
      </x:c>
      <x:c r="H15" s="55" t="str">
        <x:v>S1</x:v>
      </x:c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1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1"/>
      <x:c r="B17" s="57" t="str">
        <x:v>Segment Revenue</x:v>
      </x:c>
      <x:c r="C17" s="57" t="str">
        <x:v>Segment Revenue</x:v>
      </x:c>
      <x:c r="D17" s="57" t="str">
        <x:v>Segment Revenue</x:v>
      </x:c>
      <x:c r="E17" s="57" t="str">
        <x:v>Segment Revenue</x:v>
      </x:c>
      <x:c r="F17" s="57" t="str">
        <x:v>Segment Revenue</x:v>
      </x:c>
      <x:c r="G17" s="57" t="str">
        <x:v>Segment Revenue</x:v>
      </x:c>
      <x:c r="H17" s="57" t="str">
        <x:v>Segment Revenue</x:v>
      </x:c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1"/>
      <x:c r="B18" s="68" t="str"/>
      <x:c r="C18" s="68" t="str">
        <x:v>2023A</x:v>
      </x:c>
      <x:c r="D18" s="68" t="str">
        <x:v>2024A</x:v>
      </x:c>
      <x:c r="E18" s="68" t="str">
        <x:v>2025A</x:v>
      </x:c>
      <x:c r="F18" s="68" t="str">
        <x:v>Q1 2025A</x:v>
      </x:c>
      <x:c r="G18" s="68" t="str">
        <x:v>Q1 2026A</x:v>
      </x:c>
      <x:c r="H18" s="68" t="str">
        <x:v>Source ID</x:v>
      </x:c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55" t="str">
        <x:v>Space</x:v>
      </x:c>
      <x:c r="C19" s="69" t="n">
        <x:v>3557</x:v>
      </x:c>
      <x:c r="D19" s="69" t="n">
        <x:v>3796</x:v>
      </x:c>
      <x:c r="E19" s="69" t="n">
        <x:v>4086</x:v>
      </x:c>
      <x:c r="F19" s="69" t="n">
        <x:v>865</x:v>
      </x:c>
      <x:c r="G19" s="69" t="n">
        <x:v>619</x:v>
      </x:c>
      <x:c r="H19" s="55" t="str">
        <x:v>S2</x:v>
      </x:c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55" t="str">
        <x:v>Connectivity</x:v>
      </x:c>
      <x:c r="C20" s="69" t="n">
        <x:v>3869</x:v>
      </x:c>
      <x:c r="D20" s="69" t="n">
        <x:v>7599</x:v>
      </x:c>
      <x:c r="E20" s="69" t="n">
        <x:v>11387</x:v>
      </x:c>
      <x:c r="F20" s="69" t="n">
        <x:v>2475</x:v>
      </x:c>
      <x:c r="G20" s="69" t="n">
        <x:v>3257</x:v>
      </x:c>
      <x:c r="H20" s="55" t="str">
        <x:v>S2</x:v>
      </x:c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 t="str">
        <x:v>AI</x:v>
      </x:c>
      <x:c r="C21" s="69" t="n">
        <x:v>2961</x:v>
      </x:c>
      <x:c r="D21" s="69" t="n">
        <x:v>2620</x:v>
      </x:c>
      <x:c r="E21" s="69" t="n">
        <x:v>3201</x:v>
      </x:c>
      <x:c r="F21" s="69" t="n">
        <x:v>727</x:v>
      </x:c>
      <x:c r="G21" s="69" t="n">
        <x:v>818</x:v>
      </x:c>
      <x:c r="H21" s="55" t="str">
        <x:v>S2</x:v>
      </x:c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71" t="str">
        <x:v>Total</x:v>
      </x:c>
      <x:c r="C22" s="72" t="n">
        <x:f>SUM(C19:C21)</x:f>
        <x:v>10387</x:v>
      </x:c>
      <x:c r="D22" s="72" t="n">
        <x:f>SUM(D19:D21)</x:f>
        <x:v>14015</x:v>
      </x:c>
      <x:c r="E22" s="72" t="n">
        <x:f>SUM(E19:E21)</x:f>
        <x:v>18674</x:v>
      </x:c>
      <x:c r="F22" s="72" t="n">
        <x:f>SUM(F19:F21)</x:f>
        <x:v>4067</x:v>
      </x:c>
      <x:c r="G22" s="72" t="n">
        <x:f>SUM(G19:G21)</x:f>
        <x:v>4694</x:v>
      </x:c>
      <x:c r="H22" s="55" t="str">
        <x:v>S2</x:v>
      </x:c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57" t="str">
        <x:v>Segment Adjusted EBITDA</x:v>
      </x:c>
      <x:c r="C24" s="57" t="str">
        <x:v>Segment Adjusted EBITDA</x:v>
      </x:c>
      <x:c r="D24" s="57" t="str">
        <x:v>Segment Adjusted EBITDA</x:v>
      </x:c>
      <x:c r="E24" s="57" t="str">
        <x:v>Segment Adjusted EBITDA</x:v>
      </x:c>
      <x:c r="F24" s="57" t="str">
        <x:v>Segment Adjusted EBITDA</x:v>
      </x:c>
      <x:c r="G24" s="57" t="str">
        <x:v>Segment Adjusted EBITDA</x:v>
      </x:c>
      <x:c r="H24" s="57" t="str">
        <x:v>Segment Adjusted EBITDA</x:v>
      </x:c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68" t="str"/>
      <x:c r="C25" s="68" t="str">
        <x:v>2023A</x:v>
      </x:c>
      <x:c r="D25" s="68" t="str">
        <x:v>2024A</x:v>
      </x:c>
      <x:c r="E25" s="68" t="str">
        <x:v>2025A</x:v>
      </x:c>
      <x:c r="F25" s="68" t="str">
        <x:v>Q1 2025A</x:v>
      </x:c>
      <x:c r="G25" s="68" t="str">
        <x:v>Q1 2026A</x:v>
      </x:c>
      <x:c r="H25" s="68" t="str">
        <x:v>Source ID</x:v>
      </x:c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 t="str">
        <x:v>Space</x:v>
      </x:c>
      <x:c r="C26" s="69" t="n">
        <x:v>997</x:v>
      </x:c>
      <x:c r="D26" s="69" t="n">
        <x:v>1154</x:v>
      </x:c>
      <x:c r="E26" s="69" t="n">
        <x:v>653</x:v>
      </x:c>
      <x:c r="F26" s="69" t="n">
        <x:v>224</x:v>
      </x:c>
      <x:c r="G26" s="69" t="n">
        <x:v>-351</x:v>
      </x:c>
      <x:c r="H26" s="55" t="str">
        <x:v>S1</x:v>
      </x:c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 t="str">
        <x:v>Connectivity</x:v>
      </x:c>
      <x:c r="C27" s="69" t="n">
        <x:v>1602</x:v>
      </x:c>
      <x:c r="D27" s="69" t="n">
        <x:v>3849</x:v>
      </x:c>
      <x:c r="E27" s="69" t="n">
        <x:v>7168</x:v>
      </x:c>
      <x:c r="F27" s="69" t="n">
        <x:v>1618</x:v>
      </x:c>
      <x:c r="G27" s="69" t="n">
        <x:v>2087</x:v>
      </x:c>
      <x:c r="H27" s="55" t="str">
        <x:v>S1</x:v>
      </x:c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 t="str">
        <x:v>AI</x:v>
      </x:c>
      <x:c r="C28" s="69" t="n">
        <x:v>1222</x:v>
      </x:c>
      <x:c r="D28" s="69" t="n">
        <x:v>347</x:v>
      </x:c>
      <x:c r="E28" s="69" t="n">
        <x:v>-1237</x:v>
      </x:c>
      <x:c r="F28" s="69" t="n">
        <x:v>-112</x:v>
      </x:c>
      <x:c r="G28" s="69" t="n">
        <x:v>-609</x:v>
      </x:c>
      <x:c r="H28" s="55" t="str">
        <x:v>S1</x:v>
      </x:c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 t="str">
        <x:v>Corporate / reconciliation</x:v>
      </x:c>
      <x:c r="C29" s="69" t="n">
        <x:f>C9-SUM(C26:C28)</x:f>
        <x:v>0</x:v>
      </x:c>
      <x:c r="D29" s="69" t="n">
        <x:f>D9-SUM(D26:D28)</x:f>
        <x:v>0</x:v>
      </x:c>
      <x:c r="E29" s="69" t="n">
        <x:f>E9-SUM(E26:E28)</x:f>
        <x:v>0</x:v>
      </x:c>
      <x:c r="F29" s="69" t="n">
        <x:f>F9-SUM(F26:F28)</x:f>
        <x:v>0</x:v>
      </x:c>
      <x:c r="G29" s="69" t="n">
        <x:f>G9-SUM(G26:G28)</x:f>
        <x:v>0</x:v>
      </x:c>
      <x:c r="H29" s="55" t="str">
        <x:v>S1</x:v>
      </x:c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71" t="str">
        <x:v>Adjusted EBITDA</x:v>
      </x:c>
      <x:c r="C30" s="72" t="n">
        <x:f>SUM(C26:C29)</x:f>
        <x:v>3821</x:v>
      </x:c>
      <x:c r="D30" s="72" t="n">
        <x:f>SUM(D26:D29)</x:f>
        <x:v>5350</x:v>
      </x:c>
      <x:c r="E30" s="72" t="n">
        <x:f>SUM(E26:E29)</x:f>
        <x:v>6584</x:v>
      </x:c>
      <x:c r="F30" s="72" t="n">
        <x:f>SUM(F26:F29)</x:f>
        <x:v>1730</x:v>
      </x:c>
      <x:c r="G30" s="72" t="n">
        <x:f>SUM(G26:G29)</x:f>
        <x:v>1127</x:v>
      </x:c>
      <x:c r="H30" s="55" t="str">
        <x:v>S1</x:v>
      </x:c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57" t="str">
        <x:v>Balance Sheet / Capitalization</x:v>
      </x:c>
      <x:c r="C32" s="57" t="str">
        <x:v>Balance Sheet / Capitalization</x:v>
      </x:c>
      <x:c r="D32" s="57" t="str">
        <x:v>Balance Sheet / Capitalization</x:v>
      </x:c>
      <x:c r="E32" s="57" t="str">
        <x:v>Balance Sheet / Capitalization</x:v>
      </x:c>
      <x:c r="F32" s="57" t="str">
        <x:v>Balance Sheet / Capitalization</x:v>
      </x:c>
      <x:c r="G32" s="57" t="str">
        <x:v>Balance Sheet / Capitalization</x:v>
      </x:c>
      <x:c r="H32" s="57" t="str">
        <x:v>Balance Sheet / Capitalization</x:v>
      </x:c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68" t="str">
        <x:v>Metric</x:v>
      </x:c>
      <x:c r="C33" s="68" t="str">
        <x:v>Dec-24A</x:v>
      </x:c>
      <x:c r="D33" s="68" t="str">
        <x:v>Dec-25A</x:v>
      </x:c>
      <x:c r="E33" s="68" t="str">
        <x:v>Mar-26A</x:v>
      </x:c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 t="str">
        <x:v>Cash &amp; equivalents</x:v>
      </x:c>
      <x:c r="C34" s="69" t="n">
        <x:v>11385</x:v>
      </x:c>
      <x:c r="D34" s="69" t="n">
        <x:v>24747</x:v>
      </x:c>
      <x:c r="E34" s="69" t="n">
        <x:v>15852</x:v>
      </x:c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 t="str">
        <x:v>Marketable securities</x:v>
      </x:c>
      <x:c r="C35" s="69" t="n">
        <x:v>800</x:v>
      </x:c>
      <x:c r="D35" s="69" t="n">
        <x:v>0</x:v>
      </x:c>
      <x:c r="E35" s="69" t="n">
        <x:v>7823</x:v>
      </x:c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 t="str">
        <x:v>Debt &amp; finance leases</x:v>
      </x:c>
      <x:c r="C36" s="69" t="n">
        <x:v>13793</x:v>
      </x:c>
      <x:c r="D36" s="69" t="n">
        <x:v>22896</x:v>
      </x:c>
      <x:c r="E36" s="69" t="n">
        <x:v>30265</x:v>
      </x:c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 t="str">
        <x:v>Net debt / (cash)</x:v>
      </x:c>
      <x:c r="C37" s="69" t="n">
        <x:f>C36-C34-C35</x:f>
        <x:v>1608</x:v>
      </x:c>
      <x:c r="D37" s="69" t="n">
        <x:f>D36-D34-D35</x:f>
        <x:v>-1851</x:v>
      </x:c>
      <x:c r="E37" s="69" t="n">
        <x:f>E36-E34-E35</x:f>
        <x:v>6590</x:v>
      </x:c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 t="str">
        <x:v>Total assets</x:v>
      </x:c>
      <x:c r="C38" s="69" t="n">
        <x:v>57062</x:v>
      </x:c>
      <x:c r="D38" s="69" t="n">
        <x:v>92079</x:v>
      </x:c>
      <x:c r="E38" s="69" t="n">
        <x:v>102094</x:v>
      </x:c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H2"/>
    <x:mergeCell ref="B5:H5"/>
    <x:mergeCell ref="B17:H17"/>
    <x:mergeCell ref="B24:H24"/>
    <x:mergeCell ref="B32:H3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Scenario Assumptions</x:v>
      </x:c>
      <x:c r="C2" s="56"/>
      <x:c r="D2" s="56"/>
      <x:c r="E2" s="56"/>
      <x:c r="F2" s="56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 t="str">
        <x:v>Selected case</x:v>
      </x:c>
      <x:c r="C3" s="73" t="str">
        <x:v>Base</x:v>
      </x:c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55" t="str">
        <x:v>Case index</x:v>
      </x:c>
      <x:c r="C4" s="55" t="n">
        <x:f>MATCH(C3,$D$7:$F$7,0)</x:f>
        <x:v>2</x:v>
      </x:c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55" t="str">
        <x:v>Blue font = editable input | Black = formula | Green = cross-sheet link</x:v>
      </x:c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57" t="str">
        <x:v>Valuation &amp; Capital Structure</x:v>
      </x:c>
      <x:c r="C6" s="57" t="str">
        <x:v>Valuation &amp; Capital Structure</x:v>
      </x:c>
      <x:c r="D6" s="57" t="str">
        <x:v>Valuation &amp; Capital Structure</x:v>
      </x:c>
      <x:c r="E6" s="57" t="str">
        <x:v>Valuation &amp; Capital Structure</x:v>
      </x:c>
      <x:c r="F6" s="57" t="str">
        <x:v>Valuation &amp; Capital Structure</x:v>
      </x:c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68" t="str">
        <x:v>Driver</x:v>
      </x:c>
      <x:c r="C7" s="68" t="str">
        <x:v>Selected</x:v>
      </x:c>
      <x:c r="D7" s="68" t="str">
        <x:v>Bear</x:v>
      </x:c>
      <x:c r="E7" s="68" t="str">
        <x:v>Base</x:v>
      </x:c>
      <x:c r="F7" s="68" t="str">
        <x:v>Bull</x:v>
      </x:c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55" t="str">
        <x:v>WACC</x:v>
      </x:c>
      <x:c r="C8" s="70" t="n">
        <x:f>INDEX($D8:$F8,1,$C$4)</x:f>
        <x:v>0.12</x:v>
      </x:c>
      <x:c r="D8" s="74" t="n">
        <x:v>0.14</x:v>
      </x:c>
      <x:c r="E8" s="74" t="n">
        <x:v>0.12</x:v>
      </x:c>
      <x:c r="F8" s="74" t="n">
        <x:v>0.1</x:v>
      </x:c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55" t="str">
        <x:v>Terminal growth</x:v>
      </x:c>
      <x:c r="C9" s="70" t="n">
        <x:f>INDEX($D9:$F9,1,$C$4)</x:f>
        <x:v>0.035</x:v>
      </x:c>
      <x:c r="D9" s="74" t="n">
        <x:v>0.025</x:v>
      </x:c>
      <x:c r="E9" s="74" t="n">
        <x:v>0.035</x:v>
      </x:c>
      <x:c r="F9" s="74" t="n">
        <x:v>0.045</x:v>
      </x:c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55" t="str">
        <x:v>Tax rate</x:v>
      </x:c>
      <x:c r="C10" s="70" t="n">
        <x:f>INDEX($D10:$F10,1,$C$4)</x:f>
        <x:v>0.21</x:v>
      </x:c>
      <x:c r="D10" s="74" t="n">
        <x:v>0.21</x:v>
      </x:c>
      <x:c r="E10" s="74" t="n">
        <x:v>0.21</x:v>
      </x:c>
      <x:c r="F10" s="74" t="n">
        <x:v>0.21</x:v>
      </x:c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55" t="str">
        <x:v>Current share price</x:v>
      </x:c>
      <x:c r="C11" s="75" t="n">
        <x:f>INDEX($D11:$F11,1,$C$4)</x:f>
        <x:v>113.5</x:v>
      </x:c>
      <x:c r="D11" s="76" t="n">
        <x:v>113.5</x:v>
      </x:c>
      <x:c r="E11" s="76" t="n">
        <x:v>113.5</x:v>
      </x:c>
      <x:c r="F11" s="76" t="n">
        <x:v>113.5</x:v>
      </x:c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5" t="str">
        <x:v>IPO price</x:v>
      </x:c>
      <x:c r="C12" s="75" t="n">
        <x:f>INDEX($D12:$F12,1,$C$4)</x:f>
        <x:v>135</x:v>
      </x:c>
      <x:c r="D12" s="76" t="n">
        <x:v>135</x:v>
      </x:c>
      <x:c r="E12" s="76" t="n">
        <x:v>135</x:v>
      </x:c>
      <x:c r="F12" s="76" t="n">
        <x:v>135</x:v>
      </x:c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55" t="str">
        <x:v>Post-offering diluted shares (mm)</x:v>
      </x:c>
      <x:c r="C13" s="69" t="n">
        <x:f>INDEX($D13:$F13,1,$C$4)</x:f>
        <x:v>13631.4</x:v>
      </x:c>
      <x:c r="D13" s="77" t="n">
        <x:v>13631.4</x:v>
      </x:c>
      <x:c r="E13" s="77" t="n">
        <x:v>13631.4</x:v>
      </x:c>
      <x:c r="F13" s="77" t="n">
        <x:v>13631.4</x:v>
      </x:c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55" t="str">
        <x:v>Mar-26 cash + securities</x:v>
      </x:c>
      <x:c r="C14" s="69" t="n">
        <x:f>INDEX($D14:$F14,1,$C$4)</x:f>
        <x:v>23675</x:v>
      </x:c>
      <x:c r="D14" s="77" t="n">
        <x:v>23675</x:v>
      </x:c>
      <x:c r="E14" s="77" t="n">
        <x:v>23675</x:v>
      </x:c>
      <x:c r="F14" s="77" t="n">
        <x:v>23675</x:v>
      </x:c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55" t="str">
        <x:v>Mar-26 debt &amp; finance leases</x:v>
      </x:c>
      <x:c r="C15" s="69" t="n">
        <x:f>INDEX($D15:$F15,1,$C$4)</x:f>
        <x:v>30265</x:v>
      </x:c>
      <x:c r="D15" s="77" t="n">
        <x:v>30265</x:v>
      </x:c>
      <x:c r="E15" s="77" t="n">
        <x:v>30265</x:v>
      </x:c>
      <x:c r="F15" s="77" t="n">
        <x:v>30265</x:v>
      </x:c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1"/>
      <x:c r="B16" s="55" t="str">
        <x:v>IPO net proceeds</x:v>
      </x:c>
      <x:c r="C16" s="69" t="n">
        <x:f>INDEX($D16:$F16,1,$C$4)</x:f>
        <x:v>74400</x:v>
      </x:c>
      <x:c r="D16" s="69" t="n">
        <x:v>74400</x:v>
      </x:c>
      <x:c r="E16" s="69" t="n">
        <x:v>74400</x:v>
      </x:c>
      <x:c r="F16" s="69" t="n">
        <x:v>74400</x:v>
      </x:c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1"/>
      <x:c r="B17" s="55" t="str">
        <x:v>Pro forma net cash</x:v>
      </x:c>
      <x:c r="C17" s="69" t="n">
        <x:f>INDEX($D17:$F17,1,$C$4)</x:f>
        <x:v>20221.4</x:v>
      </x:c>
      <x:c r="D17" s="69" t="n">
        <x:f>C13+C15-C14</x:f>
        <x:v>20221.4</x:v>
      </x:c>
      <x:c r="E17" s="69" t="n">
        <x:f>D13+D15-D14</x:f>
        <x:v>20221.4</x:v>
      </x:c>
      <x:c r="F17" s="69" t="n">
        <x:f>E13+E15-E14</x:f>
        <x:v>20221.4</x:v>
      </x:c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1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57" t="str">
        <x:v>Forecast Drivers — Bear</x:v>
      </x:c>
      <x:c r="C19" s="57" t="str">
        <x:v>Forecast Drivers — Bear</x:v>
      </x:c>
      <x:c r="D19" s="57" t="str">
        <x:v>Forecast Drivers — Bear</x:v>
      </x:c>
      <x:c r="E19" s="57" t="str">
        <x:v>Forecast Drivers — Bear</x:v>
      </x:c>
      <x:c r="F19" s="57" t="str">
        <x:v>Forecast Drivers — Bear</x:v>
      </x:c>
      <x:c r="G19" s="57" t="str">
        <x:v>Forecast Drivers — Bear</x:v>
      </x:c>
      <x:c r="H19" s="57" t="str">
        <x:v>Forecast Drivers — Bear</x:v>
      </x:c>
      <x:c r="I19" s="57" t="str">
        <x:v>Forecast Drivers — Bear</x:v>
      </x:c>
      <x:c r="J19" s="57" t="str">
        <x:v>Forecast Drivers — Bear</x:v>
      </x:c>
      <x:c r="K19" s="57" t="str">
        <x:v>Forecast Drivers — Bear</x:v>
      </x:c>
      <x:c r="L19" s="57" t="str">
        <x:v>Forecast Drivers — Bear</x:v>
      </x:c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68" t="str"/>
      <x:c r="C20" s="68" t="n">
        <x:v>2026</x:v>
      </x:c>
      <x:c r="D20" s="68" t="n">
        <x:v>2027</x:v>
      </x:c>
      <x:c r="E20" s="68" t="n">
        <x:v>2028</x:v>
      </x:c>
      <x:c r="F20" s="68" t="n">
        <x:v>2029</x:v>
      </x:c>
      <x:c r="G20" s="68" t="n">
        <x:v>2030</x:v>
      </x:c>
      <x:c r="H20" s="68" t="n">
        <x:v>2031</x:v>
      </x:c>
      <x:c r="I20" s="68" t="n">
        <x:v>2032</x:v>
      </x:c>
      <x:c r="J20" s="68" t="n">
        <x:v>2033</x:v>
      </x:c>
      <x:c r="K20" s="68" t="n">
        <x:v>2034</x:v>
      </x:c>
      <x:c r="L20" s="68" t="n">
        <x:v>2035</x:v>
      </x:c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 t="str">
        <x:v>Space revenue growth</x:v>
      </x:c>
      <x:c r="C21" s="74" t="n">
        <x:v>0.08</x:v>
      </x:c>
      <x:c r="D21" s="74" t="n">
        <x:v>0.12</x:v>
      </x:c>
      <x:c r="E21" s="74" t="n">
        <x:v>0.14</x:v>
      </x:c>
      <x:c r="F21" s="74" t="n">
        <x:v>0.12</x:v>
      </x:c>
      <x:c r="G21" s="74" t="n">
        <x:v>0.1</x:v>
      </x:c>
      <x:c r="H21" s="74" t="n">
        <x:v>0.08</x:v>
      </x:c>
      <x:c r="I21" s="74" t="n">
        <x:v>0.07</x:v>
      </x:c>
      <x:c r="J21" s="74" t="n">
        <x:v>0.06</x:v>
      </x:c>
      <x:c r="K21" s="74" t="n">
        <x:v>0.05</x:v>
      </x:c>
      <x:c r="L21" s="74" t="n">
        <x:v>0.04</x:v>
      </x:c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 t="str">
        <x:v>Connectivity revenue growth</x:v>
      </x:c>
      <x:c r="C22" s="74" t="n">
        <x:v>0.24</x:v>
      </x:c>
      <x:c r="D22" s="74" t="n">
        <x:v>0.24</x:v>
      </x:c>
      <x:c r="E22" s="74" t="n">
        <x:v>0.2</x:v>
      </x:c>
      <x:c r="F22" s="74" t="n">
        <x:v>0.17</x:v>
      </x:c>
      <x:c r="G22" s="74" t="n">
        <x:v>0.14</x:v>
      </x:c>
      <x:c r="H22" s="74" t="n">
        <x:v>0.12</x:v>
      </x:c>
      <x:c r="I22" s="74" t="n">
        <x:v>0.1</x:v>
      </x:c>
      <x:c r="J22" s="74" t="n">
        <x:v>0.09</x:v>
      </x:c>
      <x:c r="K22" s="74" t="n">
        <x:v>0.08</x:v>
      </x:c>
      <x:c r="L22" s="74" t="n">
        <x:v>0.07</x:v>
      </x:c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 t="str">
        <x:v>AI revenue growth</x:v>
      </x:c>
      <x:c r="C23" s="74" t="n">
        <x:v>0.15</x:v>
      </x:c>
      <x:c r="D23" s="74" t="n">
        <x:v>0.18</x:v>
      </x:c>
      <x:c r="E23" s="74" t="n">
        <x:v>0.22</x:v>
      </x:c>
      <x:c r="F23" s="74" t="n">
        <x:v>0.25</x:v>
      </x:c>
      <x:c r="G23" s="74" t="n">
        <x:v>0.25</x:v>
      </x:c>
      <x:c r="H23" s="74" t="n">
        <x:v>0.22</x:v>
      </x:c>
      <x:c r="I23" s="74" t="n">
        <x:v>0.2</x:v>
      </x:c>
      <x:c r="J23" s="74" t="n">
        <x:v>0.18</x:v>
      </x:c>
      <x:c r="K23" s="74" t="n">
        <x:v>0.16</x:v>
      </x:c>
      <x:c r="L23" s="74" t="n">
        <x:v>0.14</x:v>
      </x:c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55" t="str">
        <x:v>Space EBITDA margin</x:v>
      </x:c>
      <x:c r="C24" s="74" t="n">
        <x:v>0.05</x:v>
      </x:c>
      <x:c r="D24" s="74" t="n">
        <x:v>0.09</x:v>
      </x:c>
      <x:c r="E24" s="74" t="n">
        <x:v>0.13</x:v>
      </x:c>
      <x:c r="F24" s="74" t="n">
        <x:v>0.16</x:v>
      </x:c>
      <x:c r="G24" s="74" t="n">
        <x:v>0.18</x:v>
      </x:c>
      <x:c r="H24" s="74" t="n">
        <x:v>0.2</x:v>
      </x:c>
      <x:c r="I24" s="74" t="n">
        <x:v>0.21</x:v>
      </x:c>
      <x:c r="J24" s="74" t="n">
        <x:v>0.22</x:v>
      </x:c>
      <x:c r="K24" s="74" t="n">
        <x:v>0.23</x:v>
      </x:c>
      <x:c r="L24" s="74" t="n">
        <x:v>0.24</x:v>
      </x:c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 t="str">
        <x:v>Connectivity EBITDA margin</x:v>
      </x:c>
      <x:c r="C25" s="74" t="n">
        <x:v>0.58</x:v>
      </x:c>
      <x:c r="D25" s="74" t="n">
        <x:v>0.59</x:v>
      </x:c>
      <x:c r="E25" s="74" t="n">
        <x:v>0.6</x:v>
      </x:c>
      <x:c r="F25" s="74" t="n">
        <x:v>0.6</x:v>
      </x:c>
      <x:c r="G25" s="74" t="n">
        <x:v>0.59</x:v>
      </x:c>
      <x:c r="H25" s="74" t="n">
        <x:v>0.58</x:v>
      </x:c>
      <x:c r="I25" s="74" t="n">
        <x:v>0.57</x:v>
      </x:c>
      <x:c r="J25" s="74" t="n">
        <x:v>0.56</x:v>
      </x:c>
      <x:c r="K25" s="74" t="n">
        <x:v>0.55</x:v>
      </x:c>
      <x:c r="L25" s="74" t="n">
        <x:v>0.54</x:v>
      </x:c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 t="str">
        <x:v>AI EBITDA margin</x:v>
      </x:c>
      <x:c r="C26" s="74" t="n">
        <x:v>-0.42</x:v>
      </x:c>
      <x:c r="D26" s="74" t="n">
        <x:v>-0.35</x:v>
      </x:c>
      <x:c r="E26" s="74" t="n">
        <x:v>-0.25</x:v>
      </x:c>
      <x:c r="F26" s="74" t="n">
        <x:v>-0.12</x:v>
      </x:c>
      <x:c r="G26" s="74" t="n">
        <x:v>0</x:v>
      </x:c>
      <x:c r="H26" s="74" t="n">
        <x:v>0.1</x:v>
      </x:c>
      <x:c r="I26" s="74" t="n">
        <x:v>0.18</x:v>
      </x:c>
      <x:c r="J26" s="74" t="n">
        <x:v>0.24</x:v>
      </x:c>
      <x:c r="K26" s="74" t="n">
        <x:v>0.28</x:v>
      </x:c>
      <x:c r="L26" s="74" t="n">
        <x:v>0.3</x:v>
      </x:c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 t="str">
        <x:v>D&amp;A / revenue</x:v>
      </x:c>
      <x:c r="C27" s="74" t="n">
        <x:v>0.19</x:v>
      </x:c>
      <x:c r="D27" s="74" t="n">
        <x:v>0.18</x:v>
      </x:c>
      <x:c r="E27" s="74" t="n">
        <x:v>0.17</x:v>
      </x:c>
      <x:c r="F27" s="74" t="n">
        <x:v>0.16</x:v>
      </x:c>
      <x:c r="G27" s="74" t="n">
        <x:v>0.15</x:v>
      </x:c>
      <x:c r="H27" s="74" t="n">
        <x:v>0.14</x:v>
      </x:c>
      <x:c r="I27" s="74" t="n">
        <x:v>0.13</x:v>
      </x:c>
      <x:c r="J27" s="74" t="n">
        <x:v>0.12</x:v>
      </x:c>
      <x:c r="K27" s="74" t="n">
        <x:v>0.11</x:v>
      </x:c>
      <x:c r="L27" s="74" t="n">
        <x:v>0.1</x:v>
      </x:c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 t="str">
        <x:v>Capex / revenue</x:v>
      </x:c>
      <x:c r="C28" s="74" t="n">
        <x:v>1.05</x:v>
      </x:c>
      <x:c r="D28" s="74" t="n">
        <x:v>0.82</x:v>
      </x:c>
      <x:c r="E28" s="74" t="n">
        <x:v>0.62</x:v>
      </x:c>
      <x:c r="F28" s="74" t="n">
        <x:v>0.48</x:v>
      </x:c>
      <x:c r="G28" s="74" t="n">
        <x:v>0.38</x:v>
      </x:c>
      <x:c r="H28" s="74" t="n">
        <x:v>0.31</x:v>
      </x:c>
      <x:c r="I28" s="74" t="n">
        <x:v>0.26</x:v>
      </x:c>
      <x:c r="J28" s="74" t="n">
        <x:v>0.22</x:v>
      </x:c>
      <x:c r="K28" s="74" t="n">
        <x:v>0.19</x:v>
      </x:c>
      <x:c r="L28" s="74" t="n">
        <x:v>0.17</x:v>
      </x:c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 t="str">
        <x:v>NWC investment / ΔRevenue</x:v>
      </x:c>
      <x:c r="C29" s="74" t="n">
        <x:v>0.04</x:v>
      </x:c>
      <x:c r="D29" s="74" t="n">
        <x:v>0.04</x:v>
      </x:c>
      <x:c r="E29" s="74" t="n">
        <x:v>0.04</x:v>
      </x:c>
      <x:c r="F29" s="74" t="n">
        <x:v>0.04</x:v>
      </x:c>
      <x:c r="G29" s="74" t="n">
        <x:v>0.04</x:v>
      </x:c>
      <x:c r="H29" s="74" t="n">
        <x:v>0.04</x:v>
      </x:c>
      <x:c r="I29" s="74" t="n">
        <x:v>0.04</x:v>
      </x:c>
      <x:c r="J29" s="74" t="n">
        <x:v>0.04</x:v>
      </x:c>
      <x:c r="K29" s="74" t="n">
        <x:v>0.04</x:v>
      </x:c>
      <x:c r="L29" s="74" t="n">
        <x:v>0.04</x:v>
      </x:c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7" t="str">
        <x:v>Forecast Drivers — Base</x:v>
      </x:c>
      <x:c r="C31" s="57" t="str">
        <x:v>Forecast Drivers — Base</x:v>
      </x:c>
      <x:c r="D31" s="57" t="str">
        <x:v>Forecast Drivers — Base</x:v>
      </x:c>
      <x:c r="E31" s="57" t="str">
        <x:v>Forecast Drivers — Base</x:v>
      </x:c>
      <x:c r="F31" s="57" t="str">
        <x:v>Forecast Drivers — Base</x:v>
      </x:c>
      <x:c r="G31" s="57" t="str">
        <x:v>Forecast Drivers — Base</x:v>
      </x:c>
      <x:c r="H31" s="57" t="str">
        <x:v>Forecast Drivers — Base</x:v>
      </x:c>
      <x:c r="I31" s="57" t="str">
        <x:v>Forecast Drivers — Base</x:v>
      </x:c>
      <x:c r="J31" s="57" t="str">
        <x:v>Forecast Drivers — Base</x:v>
      </x:c>
      <x:c r="K31" s="57" t="str">
        <x:v>Forecast Drivers — Base</x:v>
      </x:c>
      <x:c r="L31" s="57" t="str">
        <x:v>Forecast Drivers — Base</x:v>
      </x:c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68" t="str"/>
      <x:c r="C32" s="68" t="n">
        <x:v>2026</x:v>
      </x:c>
      <x:c r="D32" s="68" t="n">
        <x:v>2027</x:v>
      </x:c>
      <x:c r="E32" s="68" t="n">
        <x:v>2028</x:v>
      </x:c>
      <x:c r="F32" s="68" t="n">
        <x:v>2029</x:v>
      </x:c>
      <x:c r="G32" s="68" t="n">
        <x:v>2030</x:v>
      </x:c>
      <x:c r="H32" s="68" t="n">
        <x:v>2031</x:v>
      </x:c>
      <x:c r="I32" s="68" t="n">
        <x:v>2032</x:v>
      </x:c>
      <x:c r="J32" s="68" t="n">
        <x:v>2033</x:v>
      </x:c>
      <x:c r="K32" s="68" t="n">
        <x:v>2034</x:v>
      </x:c>
      <x:c r="L32" s="68" t="n">
        <x:v>2035</x:v>
      </x:c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55" t="str">
        <x:v>Space revenue growth</x:v>
      </x:c>
      <x:c r="C33" s="74" t="n">
        <x:v>0.12</x:v>
      </x:c>
      <x:c r="D33" s="74" t="n">
        <x:v>0.18</x:v>
      </x:c>
      <x:c r="E33" s="74" t="n">
        <x:v>0.2</x:v>
      </x:c>
      <x:c r="F33" s="74" t="n">
        <x:v>0.18</x:v>
      </x:c>
      <x:c r="G33" s="74" t="n">
        <x:v>0.15</x:v>
      </x:c>
      <x:c r="H33" s="74" t="n">
        <x:v>0.12</x:v>
      </x:c>
      <x:c r="I33" s="74" t="n">
        <x:v>0.1</x:v>
      </x:c>
      <x:c r="J33" s="74" t="n">
        <x:v>0.09</x:v>
      </x:c>
      <x:c r="K33" s="74" t="n">
        <x:v>0.08</x:v>
      </x:c>
      <x:c r="L33" s="74" t="n">
        <x:v>0.07</x:v>
      </x:c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 t="str">
        <x:v>Connectivity revenue growth</x:v>
      </x:c>
      <x:c r="C34" s="74" t="n">
        <x:v>0.32</x:v>
      </x:c>
      <x:c r="D34" s="74" t="n">
        <x:v>0.3</x:v>
      </x:c>
      <x:c r="E34" s="74" t="n">
        <x:v>0.26</x:v>
      </x:c>
      <x:c r="F34" s="74" t="n">
        <x:v>0.23</x:v>
      </x:c>
      <x:c r="G34" s="74" t="n">
        <x:v>0.2</x:v>
      </x:c>
      <x:c r="H34" s="74" t="n">
        <x:v>0.17</x:v>
      </x:c>
      <x:c r="I34" s="74" t="n">
        <x:v>0.15</x:v>
      </x:c>
      <x:c r="J34" s="74" t="n">
        <x:v>0.13</x:v>
      </x:c>
      <x:c r="K34" s="74" t="n">
        <x:v>0.11</x:v>
      </x:c>
      <x:c r="L34" s="74" t="n">
        <x:v>0.1</x:v>
      </x:c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 t="str">
        <x:v>AI revenue growth</x:v>
      </x:c>
      <x:c r="C35" s="74" t="n">
        <x:v>0.25</x:v>
      </x:c>
      <x:c r="D35" s="74" t="n">
        <x:v>0.32</x:v>
      </x:c>
      <x:c r="E35" s="74" t="n">
        <x:v>0.38</x:v>
      </x:c>
      <x:c r="F35" s="74" t="n">
        <x:v>0.42</x:v>
      </x:c>
      <x:c r="G35" s="74" t="n">
        <x:v>0.38</x:v>
      </x:c>
      <x:c r="H35" s="74" t="n">
        <x:v>0.34</x:v>
      </x:c>
      <x:c r="I35" s="74" t="n">
        <x:v>0.3</x:v>
      </x:c>
      <x:c r="J35" s="74" t="n">
        <x:v>0.26</x:v>
      </x:c>
      <x:c r="K35" s="74" t="n">
        <x:v>0.22</x:v>
      </x:c>
      <x:c r="L35" s="74" t="n">
        <x:v>0.18</x:v>
      </x:c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 t="str">
        <x:v>Space EBITDA margin</x:v>
      </x:c>
      <x:c r="C36" s="74" t="n">
        <x:v>0.08</x:v>
      </x:c>
      <x:c r="D36" s="74" t="n">
        <x:v>0.14</x:v>
      </x:c>
      <x:c r="E36" s="74" t="n">
        <x:v>0.2</x:v>
      </x:c>
      <x:c r="F36" s="74" t="n">
        <x:v>0.24</x:v>
      </x:c>
      <x:c r="G36" s="74" t="n">
        <x:v>0.27</x:v>
      </x:c>
      <x:c r="H36" s="74" t="n">
        <x:v>0.29</x:v>
      </x:c>
      <x:c r="I36" s="74" t="n">
        <x:v>0.3</x:v>
      </x:c>
      <x:c r="J36" s="74" t="n">
        <x:v>0.31</x:v>
      </x:c>
      <x:c r="K36" s="74" t="n">
        <x:v>0.32</x:v>
      </x:c>
      <x:c r="L36" s="74" t="n">
        <x:v>0.33</x:v>
      </x:c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 t="str">
        <x:v>Connectivity EBITDA margin</x:v>
      </x:c>
      <x:c r="C37" s="74" t="n">
        <x:v>0.62</x:v>
      </x:c>
      <x:c r="D37" s="74" t="n">
        <x:v>0.64</x:v>
      </x:c>
      <x:c r="E37" s="74" t="n">
        <x:v>0.65</x:v>
      </x:c>
      <x:c r="F37" s="74" t="n">
        <x:v>0.66</x:v>
      </x:c>
      <x:c r="G37" s="74" t="n">
        <x:v>0.66</x:v>
      </x:c>
      <x:c r="H37" s="74" t="n">
        <x:v>0.65</x:v>
      </x:c>
      <x:c r="I37" s="74" t="n">
        <x:v>0.64</x:v>
      </x:c>
      <x:c r="J37" s="74" t="n">
        <x:v>0.63</x:v>
      </x:c>
      <x:c r="K37" s="74" t="n">
        <x:v>0.62</x:v>
      </x:c>
      <x:c r="L37" s="74" t="n">
        <x:v>0.61</x:v>
      </x:c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 t="str">
        <x:v>AI EBITDA margin</x:v>
      </x:c>
      <x:c r="C38" s="74" t="n">
        <x:v>-0.35</x:v>
      </x:c>
      <x:c r="D38" s="74" t="n">
        <x:v>-0.22</x:v>
      </x:c>
      <x:c r="E38" s="74" t="n">
        <x:v>-0.05</x:v>
      </x:c>
      <x:c r="F38" s="74" t="n">
        <x:v>0.1</x:v>
      </x:c>
      <x:c r="G38" s="74" t="n">
        <x:v>0.22</x:v>
      </x:c>
      <x:c r="H38" s="74" t="n">
        <x:v>0.3</x:v>
      </x:c>
      <x:c r="I38" s="74" t="n">
        <x:v>0.35</x:v>
      </x:c>
      <x:c r="J38" s="74" t="n">
        <x:v>0.38</x:v>
      </x:c>
      <x:c r="K38" s="74" t="n">
        <x:v>0.4</x:v>
      </x:c>
      <x:c r="L38" s="74" t="n">
        <x:v>0.42</x:v>
      </x:c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 t="str">
        <x:v>D&amp;A / revenue</x:v>
      </x:c>
      <x:c r="C39" s="74" t="n">
        <x:v>0.18</x:v>
      </x:c>
      <x:c r="D39" s="74" t="n">
        <x:v>0.17</x:v>
      </x:c>
      <x:c r="E39" s="74" t="n">
        <x:v>0.16</x:v>
      </x:c>
      <x:c r="F39" s="74" t="n">
        <x:v>0.15</x:v>
      </x:c>
      <x:c r="G39" s="74" t="n">
        <x:v>0.14</x:v>
      </x:c>
      <x:c r="H39" s="74" t="n">
        <x:v>0.13</x:v>
      </x:c>
      <x:c r="I39" s="74" t="n">
        <x:v>0.12</x:v>
      </x:c>
      <x:c r="J39" s="74" t="n">
        <x:v>0.11</x:v>
      </x:c>
      <x:c r="K39" s="74" t="n">
        <x:v>0.1</x:v>
      </x:c>
      <x:c r="L39" s="74" t="n">
        <x:v>0.09</x:v>
      </x:c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 t="str">
        <x:v>Capex / revenue</x:v>
      </x:c>
      <x:c r="C40" s="74" t="n">
        <x:v>0.9</x:v>
      </x:c>
      <x:c r="D40" s="74" t="n">
        <x:v>0.68</x:v>
      </x:c>
      <x:c r="E40" s="74" t="n">
        <x:v>0.5</x:v>
      </x:c>
      <x:c r="F40" s="74" t="n">
        <x:v>0.38</x:v>
      </x:c>
      <x:c r="G40" s="74" t="n">
        <x:v>0.3</x:v>
      </x:c>
      <x:c r="H40" s="74" t="n">
        <x:v>0.24</x:v>
      </x:c>
      <x:c r="I40" s="74" t="n">
        <x:v>0.2</x:v>
      </x:c>
      <x:c r="J40" s="74" t="n">
        <x:v>0.17</x:v>
      </x:c>
      <x:c r="K40" s="74" t="n">
        <x:v>0.15</x:v>
      </x:c>
      <x:c r="L40" s="74" t="n">
        <x:v>0.13</x:v>
      </x:c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 t="str">
        <x:v>NWC investment / ΔRevenue</x:v>
      </x:c>
      <x:c r="C41" s="74" t="n">
        <x:v>0.03</x:v>
      </x:c>
      <x:c r="D41" s="74" t="n">
        <x:v>0.03</x:v>
      </x:c>
      <x:c r="E41" s="74" t="n">
        <x:v>0.03</x:v>
      </x:c>
      <x:c r="F41" s="74" t="n">
        <x:v>0.03</x:v>
      </x:c>
      <x:c r="G41" s="74" t="n">
        <x:v>0.03</x:v>
      </x:c>
      <x:c r="H41" s="74" t="n">
        <x:v>0.03</x:v>
      </x:c>
      <x:c r="I41" s="74" t="n">
        <x:v>0.03</x:v>
      </x:c>
      <x:c r="J41" s="74" t="n">
        <x:v>0.03</x:v>
      </x:c>
      <x:c r="K41" s="74" t="n">
        <x:v>0.03</x:v>
      </x:c>
      <x:c r="L41" s="74" t="n">
        <x:v>0.03</x:v>
      </x:c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7" t="str">
        <x:v>Forecast Drivers — Bull</x:v>
      </x:c>
      <x:c r="C43" s="57" t="str">
        <x:v>Forecast Drivers — Bull</x:v>
      </x:c>
      <x:c r="D43" s="57" t="str">
        <x:v>Forecast Drivers — Bull</x:v>
      </x:c>
      <x:c r="E43" s="57" t="str">
        <x:v>Forecast Drivers — Bull</x:v>
      </x:c>
      <x:c r="F43" s="57" t="str">
        <x:v>Forecast Drivers — Bull</x:v>
      </x:c>
      <x:c r="G43" s="57" t="str">
        <x:v>Forecast Drivers — Bull</x:v>
      </x:c>
      <x:c r="H43" s="57" t="str">
        <x:v>Forecast Drivers — Bull</x:v>
      </x:c>
      <x:c r="I43" s="57" t="str">
        <x:v>Forecast Drivers — Bull</x:v>
      </x:c>
      <x:c r="J43" s="57" t="str">
        <x:v>Forecast Drivers — Bull</x:v>
      </x:c>
      <x:c r="K43" s="57" t="str">
        <x:v>Forecast Drivers — Bull</x:v>
      </x:c>
      <x:c r="L43" s="57" t="str">
        <x:v>Forecast Drivers — Bull</x:v>
      </x:c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68" t="str"/>
      <x:c r="C44" s="68" t="n">
        <x:v>2026</x:v>
      </x:c>
      <x:c r="D44" s="68" t="n">
        <x:v>2027</x:v>
      </x:c>
      <x:c r="E44" s="68" t="n">
        <x:v>2028</x:v>
      </x:c>
      <x:c r="F44" s="68" t="n">
        <x:v>2029</x:v>
      </x:c>
      <x:c r="G44" s="68" t="n">
        <x:v>2030</x:v>
      </x:c>
      <x:c r="H44" s="68" t="n">
        <x:v>2031</x:v>
      </x:c>
      <x:c r="I44" s="68" t="n">
        <x:v>2032</x:v>
      </x:c>
      <x:c r="J44" s="68" t="n">
        <x:v>2033</x:v>
      </x:c>
      <x:c r="K44" s="68" t="n">
        <x:v>2034</x:v>
      </x:c>
      <x:c r="L44" s="68" t="n">
        <x:v>2035</x:v>
      </x:c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 t="str">
        <x:v>Space revenue growth</x:v>
      </x:c>
      <x:c r="C45" s="74" t="n">
        <x:v>0.16</x:v>
      </x:c>
      <x:c r="D45" s="74" t="n">
        <x:v>0.24</x:v>
      </x:c>
      <x:c r="E45" s="74" t="n">
        <x:v>0.28</x:v>
      </x:c>
      <x:c r="F45" s="74" t="n">
        <x:v>0.25</x:v>
      </x:c>
      <x:c r="G45" s="74" t="n">
        <x:v>0.21</x:v>
      </x:c>
      <x:c r="H45" s="74" t="n">
        <x:v>0.18</x:v>
      </x:c>
      <x:c r="I45" s="74" t="n">
        <x:v>0.15</x:v>
      </x:c>
      <x:c r="J45" s="74" t="n">
        <x:v>0.13</x:v>
      </x:c>
      <x:c r="K45" s="74" t="n">
        <x:v>0.11</x:v>
      </x:c>
      <x:c r="L45" s="74" t="n">
        <x:v>0.1</x:v>
      </x:c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 t="str">
        <x:v>Connectivity revenue growth</x:v>
      </x:c>
      <x:c r="C46" s="74" t="n">
        <x:v>0.38</x:v>
      </x:c>
      <x:c r="D46" s="74" t="n">
        <x:v>0.36</x:v>
      </x:c>
      <x:c r="E46" s="74" t="n">
        <x:v>0.32</x:v>
      </x:c>
      <x:c r="F46" s="74" t="n">
        <x:v>0.28</x:v>
      </x:c>
      <x:c r="G46" s="74" t="n">
        <x:v>0.24</x:v>
      </x:c>
      <x:c r="H46" s="74" t="n">
        <x:v>0.21</x:v>
      </x:c>
      <x:c r="I46" s="74" t="n">
        <x:v>0.18</x:v>
      </x:c>
      <x:c r="J46" s="74" t="n">
        <x:v>0.16</x:v>
      </x:c>
      <x:c r="K46" s="74" t="n">
        <x:v>0.14</x:v>
      </x:c>
      <x:c r="L46" s="74" t="n">
        <x:v>0.12</x:v>
      </x:c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 t="str">
        <x:v>AI revenue growth</x:v>
      </x:c>
      <x:c r="C47" s="74" t="n">
        <x:v>0.35</x:v>
      </x:c>
      <x:c r="D47" s="74" t="n">
        <x:v>0.45</x:v>
      </x:c>
      <x:c r="E47" s="74" t="n">
        <x:v>0.55</x:v>
      </x:c>
      <x:c r="F47" s="74" t="n">
        <x:v>0.55</x:v>
      </x:c>
      <x:c r="G47" s="74" t="n">
        <x:v>0.48</x:v>
      </x:c>
      <x:c r="H47" s="74" t="n">
        <x:v>0.42</x:v>
      </x:c>
      <x:c r="I47" s="74" t="n">
        <x:v>0.36</x:v>
      </x:c>
      <x:c r="J47" s="74" t="n">
        <x:v>0.31</x:v>
      </x:c>
      <x:c r="K47" s="74" t="n">
        <x:v>0.27</x:v>
      </x:c>
      <x:c r="L47" s="74" t="n">
        <x:v>0.23</x:v>
      </x:c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 t="str">
        <x:v>Space EBITDA margin</x:v>
      </x:c>
      <x:c r="C48" s="74" t="n">
        <x:v>0.12</x:v>
      </x:c>
      <x:c r="D48" s="74" t="n">
        <x:v>0.2</x:v>
      </x:c>
      <x:c r="E48" s="74" t="n">
        <x:v>0.27</x:v>
      </x:c>
      <x:c r="F48" s="74" t="n">
        <x:v>0.31</x:v>
      </x:c>
      <x:c r="G48" s="74" t="n">
        <x:v>0.34</x:v>
      </x:c>
      <x:c r="H48" s="74" t="n">
        <x:v>0.36</x:v>
      </x:c>
      <x:c r="I48" s="74" t="n">
        <x:v>0.37</x:v>
      </x:c>
      <x:c r="J48" s="74" t="n">
        <x:v>0.38</x:v>
      </x:c>
      <x:c r="K48" s="74" t="n">
        <x:v>0.39</x:v>
      </x:c>
      <x:c r="L48" s="74" t="n">
        <x:v>0.4</x:v>
      </x:c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 t="str">
        <x:v>Connectivity EBITDA margin</x:v>
      </x:c>
      <x:c r="C49" s="74" t="n">
        <x:v>0.65</x:v>
      </x:c>
      <x:c r="D49" s="74" t="n">
        <x:v>0.67</x:v>
      </x:c>
      <x:c r="E49" s="74" t="n">
        <x:v>0.69</x:v>
      </x:c>
      <x:c r="F49" s="74" t="n">
        <x:v>0.7</x:v>
      </x:c>
      <x:c r="G49" s="74" t="n">
        <x:v>0.7</x:v>
      </x:c>
      <x:c r="H49" s="74" t="n">
        <x:v>0.69</x:v>
      </x:c>
      <x:c r="I49" s="74" t="n">
        <x:v>0.68</x:v>
      </x:c>
      <x:c r="J49" s="74" t="n">
        <x:v>0.67</x:v>
      </x:c>
      <x:c r="K49" s="74" t="n">
        <x:v>0.66</x:v>
      </x:c>
      <x:c r="L49" s="74" t="n">
        <x:v>0.65</x:v>
      </x:c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 t="str">
        <x:v>AI EBITDA margin</x:v>
      </x:c>
      <x:c r="C50" s="74" t="n">
        <x:v>-0.28</x:v>
      </x:c>
      <x:c r="D50" s="74" t="n">
        <x:v>-0.1</x:v>
      </x:c>
      <x:c r="E50" s="74" t="n">
        <x:v>0.12</x:v>
      </x:c>
      <x:c r="F50" s="74" t="n">
        <x:v>0.27</x:v>
      </x:c>
      <x:c r="G50" s="74" t="n">
        <x:v>0.38</x:v>
      </x:c>
      <x:c r="H50" s="74" t="n">
        <x:v>0.45</x:v>
      </x:c>
      <x:c r="I50" s="74" t="n">
        <x:v>0.5</x:v>
      </x:c>
      <x:c r="J50" s="74" t="n">
        <x:v>0.52</x:v>
      </x:c>
      <x:c r="K50" s="74" t="n">
        <x:v>0.54</x:v>
      </x:c>
      <x:c r="L50" s="74" t="n">
        <x:v>0.55</x:v>
      </x:c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 t="str">
        <x:v>D&amp;A / revenue</x:v>
      </x:c>
      <x:c r="C51" s="74" t="n">
        <x:v>0.17</x:v>
      </x:c>
      <x:c r="D51" s="74" t="n">
        <x:v>0.16</x:v>
      </x:c>
      <x:c r="E51" s="74" t="n">
        <x:v>0.15</x:v>
      </x:c>
      <x:c r="F51" s="74" t="n">
        <x:v>0.14</x:v>
      </x:c>
      <x:c r="G51" s="74" t="n">
        <x:v>0.13</x:v>
      </x:c>
      <x:c r="H51" s="74" t="n">
        <x:v>0.12</x:v>
      </x:c>
      <x:c r="I51" s="74" t="n">
        <x:v>0.11</x:v>
      </x:c>
      <x:c r="J51" s="74" t="n">
        <x:v>0.1</x:v>
      </x:c>
      <x:c r="K51" s="74" t="n">
        <x:v>0.09</x:v>
      </x:c>
      <x:c r="L51" s="74" t="n">
        <x:v>0.08</x:v>
      </x:c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 t="str">
        <x:v>Capex / revenue</x:v>
      </x:c>
      <x:c r="C52" s="74" t="n">
        <x:v>0.8</x:v>
      </x:c>
      <x:c r="D52" s="74" t="n">
        <x:v>0.58</x:v>
      </x:c>
      <x:c r="E52" s="74" t="n">
        <x:v>0.42</x:v>
      </x:c>
      <x:c r="F52" s="74" t="n">
        <x:v>0.32</x:v>
      </x:c>
      <x:c r="G52" s="74" t="n">
        <x:v>0.25</x:v>
      </x:c>
      <x:c r="H52" s="74" t="n">
        <x:v>0.2</x:v>
      </x:c>
      <x:c r="I52" s="74" t="n">
        <x:v>0.17</x:v>
      </x:c>
      <x:c r="J52" s="74" t="n">
        <x:v>0.14</x:v>
      </x:c>
      <x:c r="K52" s="74" t="n">
        <x:v>0.12</x:v>
      </x:c>
      <x:c r="L52" s="74" t="n">
        <x:v>0.1</x:v>
      </x:c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 t="str">
        <x:v>NWC investment / ΔRevenue</x:v>
      </x:c>
      <x:c r="C53" s="74" t="n">
        <x:v>0.02</x:v>
      </x:c>
      <x:c r="D53" s="74" t="n">
        <x:v>0.02</x:v>
      </x:c>
      <x:c r="E53" s="74" t="n">
        <x:v>0.02</x:v>
      </x:c>
      <x:c r="F53" s="74" t="n">
        <x:v>0.02</x:v>
      </x:c>
      <x:c r="G53" s="74" t="n">
        <x:v>0.02</x:v>
      </x:c>
      <x:c r="H53" s="74" t="n">
        <x:v>0.02</x:v>
      </x:c>
      <x:c r="I53" s="74" t="n">
        <x:v>0.02</x:v>
      </x:c>
      <x:c r="J53" s="74" t="n">
        <x:v>0.02</x:v>
      </x:c>
      <x:c r="K53" s="74" t="n">
        <x:v>0.02</x:v>
      </x:c>
      <x:c r="L53" s="74" t="n">
        <x:v>0.02</x:v>
      </x:c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F2"/>
    <x:mergeCell ref="B6:F6"/>
    <x:mergeCell ref="B19:L19"/>
    <x:mergeCell ref="B31:L31"/>
    <x:mergeCell ref="B43:L43"/>
  </x:mergeCells>
  <x:dataValidations count="1">
    <x:dataValidation type="list" sqref="C3">
      <x:formula1>"Bear,Base,Bull"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Segment Operating Model</x:v>
      </x:c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68" t="str">
        <x:v>USD in millions</x:v>
      </x:c>
      <x:c r="C4" s="68" t="n">
        <x:v>2023</x:v>
      </x:c>
      <x:c r="D4" s="68" t="n">
        <x:v>2024</x:v>
      </x:c>
      <x:c r="E4" s="68" t="n">
        <x:v>2025</x:v>
      </x:c>
      <x:c r="F4" s="68" t="n">
        <x:v>2026</x:v>
      </x:c>
      <x:c r="G4" s="68" t="n">
        <x:v>2027</x:v>
      </x:c>
      <x:c r="H4" s="68" t="n">
        <x:v>2028</x:v>
      </x:c>
      <x:c r="I4" s="68" t="n">
        <x:v>2029</x:v>
      </x:c>
      <x:c r="J4" s="68" t="n">
        <x:v>2030</x:v>
      </x:c>
      <x:c r="K4" s="68" t="n">
        <x:v>2031</x:v>
      </x:c>
      <x:c r="L4" s="68" t="n">
        <x:v>2032</x:v>
      </x:c>
      <x:c r="M4" s="68" t="n">
        <x:v>2033</x:v>
      </x:c>
      <x:c r="N4" s="68" t="n">
        <x:v>2034</x:v>
      </x:c>
      <x:c r="O4" s="68" t="n">
        <x:v>2035</x:v>
      </x:c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57" t="str">
        <x:v>Revenue</x:v>
      </x:c>
      <x:c r="C6" s="57" t="str">
        <x:v>Revenue</x:v>
      </x:c>
      <x:c r="D6" s="57" t="str">
        <x:v>Revenue</x:v>
      </x:c>
      <x:c r="E6" s="57" t="str">
        <x:v>Revenue</x:v>
      </x:c>
      <x:c r="F6" s="57" t="str">
        <x:v>Revenue</x:v>
      </x:c>
      <x:c r="G6" s="57" t="str">
        <x:v>Revenue</x:v>
      </x:c>
      <x:c r="H6" s="57" t="str">
        <x:v>Revenue</x:v>
      </x:c>
      <x:c r="I6" s="57" t="str">
        <x:v>Revenue</x:v>
      </x:c>
      <x:c r="J6" s="57" t="str">
        <x:v>Revenue</x:v>
      </x:c>
      <x:c r="K6" s="57" t="str">
        <x:v>Revenue</x:v>
      </x:c>
      <x:c r="L6" s="57" t="str">
        <x:v>Revenue</x:v>
      </x:c>
      <x:c r="M6" s="57" t="str">
        <x:v>Revenue</x:v>
      </x:c>
      <x:c r="N6" s="57" t="str">
        <x:v>Revenue</x:v>
      </x:c>
      <x:c r="O6" s="57" t="str">
        <x:v>Revenue</x:v>
      </x:c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55" t="str">
        <x:v>Space revenue</x:v>
      </x:c>
      <x:c r="C7" s="59" t="n">
        <x:f>'Historical'!C19</x:f>
        <x:v>3557</x:v>
      </x:c>
      <x:c r="D7" s="59" t="n">
        <x:f>'Historical'!D19</x:f>
        <x:v>3796</x:v>
      </x:c>
      <x:c r="E7" s="59" t="n">
        <x:f>'Historical'!E19</x:f>
        <x:v>4086</x:v>
      </x:c>
      <x:c r="F7" s="69" t="n">
        <x:f>E7*(1+INDEX('Assumptions'!C$21:C$45,1+12*('Assumptions'!$C$4-1),1))</x:f>
        <x:v>4576.320000000001</x:v>
      </x:c>
      <x:c r="G7" s="69" t="n">
        <x:f>F7*(1+INDEX('Assumptions'!D$21:D$45,1+12*('Assumptions'!$C$4-1),1))</x:f>
        <x:v>5400.0576</x:v>
      </x:c>
      <x:c r="H7" s="69" t="n">
        <x:f>G7*(1+INDEX('Assumptions'!E$21:E$45,1+12*('Assumptions'!$C$4-1),1))</x:f>
        <x:v>6480.06912</x:v>
      </x:c>
      <x:c r="I7" s="69" t="n">
        <x:f>H7*(1+INDEX('Assumptions'!F$21:F$45,1+12*('Assumptions'!$C$4-1),1))</x:f>
        <x:v>7646.4815616</x:v>
      </x:c>
      <x:c r="J7" s="69" t="n">
        <x:f>I7*(1+INDEX('Assumptions'!G$21:G$45,1+12*('Assumptions'!$C$4-1),1))</x:f>
        <x:v>8793.45379584</x:v>
      </x:c>
      <x:c r="K7" s="69" t="n">
        <x:f>J7*(1+INDEX('Assumptions'!H$21:H$45,1+12*('Assumptions'!$C$4-1),1))</x:f>
        <x:v>9848.668251340801</x:v>
      </x:c>
      <x:c r="L7" s="69" t="n">
        <x:f>K7*(1+INDEX('Assumptions'!I$21:I$45,1+12*('Assumptions'!$C$4-1),1))</x:f>
        <x:v>10833.535076474882</x:v>
      </x:c>
      <x:c r="M7" s="69" t="n">
        <x:f>L7*(1+INDEX('Assumptions'!J$21:J$45,1+12*('Assumptions'!$C$4-1),1))</x:f>
        <x:v>11808.553233357623</x:v>
      </x:c>
      <x:c r="N7" s="69" t="n">
        <x:f>M7*(1+INDEX('Assumptions'!K$21:K$45,1+12*('Assumptions'!$C$4-1),1))</x:f>
        <x:v>12753.237492026234</x:v>
      </x:c>
      <x:c r="O7" s="69" t="n">
        <x:f>N7*(1+INDEX('Assumptions'!L$21:L$45,1+12*('Assumptions'!$C$4-1),1))</x:f>
        <x:v>13645.96411646807</x:v>
      </x:c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55" t="str">
        <x:v>  % growth</x:v>
      </x:c>
      <x:c r="C8" s="70"/>
      <x:c r="D8" s="70" t="n">
        <x:f>D7/C7-1</x:f>
        <x:v>0.06719145347202704</x:v>
      </x:c>
      <x:c r="E8" s="70" t="n">
        <x:f>E7/D7-1</x:f>
        <x:v>0.0763962065331929</x:v>
      </x:c>
      <x:c r="F8" s="70" t="n">
        <x:f>F7/E7-1</x:f>
        <x:v>0.1200000000000001</x:v>
      </x:c>
      <x:c r="G8" s="70" t="n">
        <x:f>G7/F7-1</x:f>
        <x:v>0.17999999999999994</x:v>
      </x:c>
      <x:c r="H8" s="70" t="n">
        <x:f>H7/G7-1</x:f>
        <x:v>0.19999999999999996</x:v>
      </x:c>
      <x:c r="I8" s="70" t="n">
        <x:f>I7/H7-1</x:f>
        <x:v>0.17999999999999994</x:v>
      </x:c>
      <x:c r="J8" s="70" t="n">
        <x:f>J7/I7-1</x:f>
        <x:v>0.1499999999999999</x:v>
      </x:c>
      <x:c r="K8" s="70" t="n">
        <x:f>K7/J7-1</x:f>
        <x:v>0.1200000000000001</x:v>
      </x:c>
      <x:c r="L8" s="70" t="n">
        <x:f>L7/K7-1</x:f>
        <x:v>0.10000000000000009</x:v>
      </x:c>
      <x:c r="M8" s="70" t="n">
        <x:f>M7/L7-1</x:f>
        <x:v>0.09000000000000008</x:v>
      </x:c>
      <x:c r="N8" s="70" t="n">
        <x:f>N7/M7-1</x:f>
        <x:v>0.08000000000000007</x:v>
      </x:c>
      <x:c r="O8" s="70" t="n">
        <x:f>O7/N7-1</x:f>
        <x:v>0.07000000000000006</x:v>
      </x:c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55" t="str">
        <x:v>Connectivity revenue</x:v>
      </x:c>
      <x:c r="C9" s="59" t="n">
        <x:f>'Historical'!C20</x:f>
        <x:v>3869</x:v>
      </x:c>
      <x:c r="D9" s="59" t="n">
        <x:f>'Historical'!D20</x:f>
        <x:v>7599</x:v>
      </x:c>
      <x:c r="E9" s="59" t="n">
        <x:f>'Historical'!E20</x:f>
        <x:v>11387</x:v>
      </x:c>
      <x:c r="F9" s="69" t="n">
        <x:f>E9*(1+INDEX('Assumptions'!C$22:C$46,1+12*('Assumptions'!$C$4-1),1))</x:f>
        <x:v>15030.84</x:v>
      </x:c>
      <x:c r="G9" s="69" t="n">
        <x:f>F9*(1+INDEX('Assumptions'!D$22:D$46,1+12*('Assumptions'!$C$4-1),1))</x:f>
        <x:v>19540.092</x:v>
      </x:c>
      <x:c r="H9" s="69" t="n">
        <x:f>G9*(1+INDEX('Assumptions'!E$22:E$46,1+12*('Assumptions'!$C$4-1),1))</x:f>
        <x:v>24620.51592</x:v>
      </x:c>
      <x:c r="I9" s="69" t="n">
        <x:f>H9*(1+INDEX('Assumptions'!F$22:F$46,1+12*('Assumptions'!$C$4-1),1))</x:f>
        <x:v>30283.2345816</x:v>
      </x:c>
      <x:c r="J9" s="69" t="n">
        <x:f>I9*(1+INDEX('Assumptions'!G$22:G$46,1+12*('Assumptions'!$C$4-1),1))</x:f>
        <x:v>36339.88149792</x:v>
      </x:c>
      <x:c r="K9" s="69" t="n">
        <x:f>J9*(1+INDEX('Assumptions'!H$22:H$46,1+12*('Assumptions'!$C$4-1),1))</x:f>
        <x:v>42517.6613525664</x:v>
      </x:c>
      <x:c r="L9" s="69" t="n">
        <x:f>K9*(1+INDEX('Assumptions'!I$22:I$46,1+12*('Assumptions'!$C$4-1),1))</x:f>
        <x:v>48895.31055545135</x:v>
      </x:c>
      <x:c r="M9" s="69" t="n">
        <x:f>L9*(1+INDEX('Assumptions'!J$22:J$46,1+12*('Assumptions'!$C$4-1),1))</x:f>
        <x:v>55251.70092766002</x:v>
      </x:c>
      <x:c r="N9" s="69" t="n">
        <x:f>M9*(1+INDEX('Assumptions'!K$22:K$46,1+12*('Assumptions'!$C$4-1),1))</x:f>
        <x:v>61329.388029702626</x:v>
      </x:c>
      <x:c r="O9" s="69" t="n">
        <x:f>N9*(1+INDEX('Assumptions'!L$22:L$46,1+12*('Assumptions'!$C$4-1),1))</x:f>
        <x:v>67462.3268326729</x:v>
      </x:c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55" t="str">
        <x:v>  % growth</x:v>
      </x:c>
      <x:c r="C10" s="70"/>
      <x:c r="D10" s="70" t="n">
        <x:f>D9/C9-1</x:f>
        <x:v>0.9640734039803567</x:v>
      </x:c>
      <x:c r="E10" s="70" t="n">
        <x:f>E9/D9-1</x:f>
        <x:v>0.4984866429793393</x:v>
      </x:c>
      <x:c r="F10" s="70" t="n">
        <x:f>F9/E9-1</x:f>
        <x:v>0.32000000000000006</x:v>
      </x:c>
      <x:c r="G10" s="70" t="n">
        <x:f>G9/F9-1</x:f>
        <x:v>0.30000000000000004</x:v>
      </x:c>
      <x:c r="H10" s="70" t="n">
        <x:f>H9/G9-1</x:f>
        <x:v>0.26</x:v>
      </x:c>
      <x:c r="I10" s="70" t="n">
        <x:f>I9/H9-1</x:f>
        <x:v>0.22999999999999998</x:v>
      </x:c>
      <x:c r="J10" s="70" t="n">
        <x:f>J9/I9-1</x:f>
        <x:v>0.19999999999999996</x:v>
      </x:c>
      <x:c r="K10" s="70" t="n">
        <x:f>K9/J9-1</x:f>
        <x:v>0.16999999999999993</x:v>
      </x:c>
      <x:c r="L10" s="70" t="n">
        <x:f>L9/K9-1</x:f>
        <x:v>0.1499999999999999</x:v>
      </x:c>
      <x:c r="M10" s="70" t="n">
        <x:f>M9/L9-1</x:f>
        <x:v>0.1299999999999999</x:v>
      </x:c>
      <x:c r="N10" s="70" t="n">
        <x:f>N9/M9-1</x:f>
        <x:v>0.1100000000000001</x:v>
      </x:c>
      <x:c r="O10" s="70" t="n">
        <x:f>O9/N9-1</x:f>
        <x:v>0.10000000000000031</x:v>
      </x:c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55" t="str">
        <x:v>AI revenue</x:v>
      </x:c>
      <x:c r="C11" s="59" t="n">
        <x:f>'Historical'!C21</x:f>
        <x:v>2961</x:v>
      </x:c>
      <x:c r="D11" s="59" t="n">
        <x:f>'Historical'!D21</x:f>
        <x:v>2620</x:v>
      </x:c>
      <x:c r="E11" s="59" t="n">
        <x:f>'Historical'!E21</x:f>
        <x:v>3201</x:v>
      </x:c>
      <x:c r="F11" s="69" t="n">
        <x:f>E11*(1+INDEX('Assumptions'!C$23:C$47,1+12*('Assumptions'!$C$4-1),1))</x:f>
        <x:v>4001.25</x:v>
      </x:c>
      <x:c r="G11" s="69" t="n">
        <x:f>F11*(1+INDEX('Assumptions'!D$23:D$47,1+12*('Assumptions'!$C$4-1),1))</x:f>
        <x:v>5281.650000000001</x:v>
      </x:c>
      <x:c r="H11" s="69" t="n">
        <x:f>G11*(1+INDEX('Assumptions'!E$23:E$47,1+12*('Assumptions'!$C$4-1),1))</x:f>
        <x:v>7288.677000000001</x:v>
      </x:c>
      <x:c r="I11" s="69" t="n">
        <x:f>H11*(1+INDEX('Assumptions'!F$23:F$47,1+12*('Assumptions'!$C$4-1),1))</x:f>
        <x:v>10349.92134</x:v>
      </x:c>
      <x:c r="J11" s="69" t="n">
        <x:f>I11*(1+INDEX('Assumptions'!G$23:G$47,1+12*('Assumptions'!$C$4-1),1))</x:f>
        <x:v>14282.8914492</x:v>
      </x:c>
      <x:c r="K11" s="69" t="n">
        <x:f>J11*(1+INDEX('Assumptions'!H$23:H$47,1+12*('Assumptions'!$C$4-1),1))</x:f>
        <x:v>19139.074541928003</x:v>
      </x:c>
      <x:c r="L11" s="69" t="n">
        <x:f>K11*(1+INDEX('Assumptions'!I$23:I$47,1+12*('Assumptions'!$C$4-1),1))</x:f>
        <x:v>24880.796904506406</x:v>
      </x:c>
      <x:c r="M11" s="69" t="n">
        <x:f>L11*(1+INDEX('Assumptions'!J$23:J$47,1+12*('Assumptions'!$C$4-1),1))</x:f>
        <x:v>31349.804099678073</x:v>
      </x:c>
      <x:c r="N11" s="69" t="n">
        <x:f>M11*(1+INDEX('Assumptions'!K$23:K$47,1+12*('Assumptions'!$C$4-1),1))</x:f>
        <x:v>38246.76100160725</x:v>
      </x:c>
      <x:c r="O11" s="69" t="n">
        <x:f>N11*(1+INDEX('Assumptions'!L$23:L$47,1+12*('Assumptions'!$C$4-1),1))</x:f>
        <x:v>45131.17798189655</x:v>
      </x:c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5" t="str">
        <x:v>  % growth</x:v>
      </x:c>
      <x:c r="C12" s="70"/>
      <x:c r="D12" s="70" t="n">
        <x:f>D11/C11-1</x:f>
        <x:v>-0.11516379601485982</x:v>
      </x:c>
      <x:c r="E12" s="70" t="n">
        <x:f>E11/D11-1</x:f>
        <x:v>0.22175572519083975</x:v>
      </x:c>
      <x:c r="F12" s="70" t="n">
        <x:f>F11/E11-1</x:f>
        <x:v>0.25</x:v>
      </x:c>
      <x:c r="G12" s="70" t="n">
        <x:f>G11/F11-1</x:f>
        <x:v>0.32000000000000006</x:v>
      </x:c>
      <x:c r="H12" s="70" t="n">
        <x:f>H11/G11-1</x:f>
        <x:v>0.3799999999999999</x:v>
      </x:c>
      <x:c r="I12" s="70" t="n">
        <x:f>I11/H11-1</x:f>
        <x:v>0.41999999999999993</x:v>
      </x:c>
      <x:c r="J12" s="70" t="n">
        <x:f>J11/I11-1</x:f>
        <x:v>0.3799999999999999</x:v>
      </x:c>
      <x:c r="K12" s="70" t="n">
        <x:f>K11/J11-1</x:f>
        <x:v>0.3400000000000001</x:v>
      </x:c>
      <x:c r="L12" s="70" t="n">
        <x:f>L11/K11-1</x:f>
        <x:v>0.30000000000000004</x:v>
      </x:c>
      <x:c r="M12" s="70" t="n">
        <x:f>M11/L11-1</x:f>
        <x:v>0.26</x:v>
      </x:c>
      <x:c r="N12" s="70" t="n">
        <x:f>N11/M11-1</x:f>
        <x:v>0.21999999999999997</x:v>
      </x:c>
      <x:c r="O12" s="70" t="n">
        <x:f>O11/N11-1</x:f>
        <x:v>0.17999999999999994</x:v>
      </x:c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71" t="str">
        <x:v>Total revenue</x:v>
      </x:c>
      <x:c r="C13" s="72" t="n">
        <x:f>SUM(C7,C9,C11)</x:f>
        <x:v>10387</x:v>
      </x:c>
      <x:c r="D13" s="72" t="n">
        <x:f>SUM(D7,D9,D11)</x:f>
        <x:v>14015</x:v>
      </x:c>
      <x:c r="E13" s="72" t="n">
        <x:f>SUM(E7,E9,E11)</x:f>
        <x:v>18674</x:v>
      </x:c>
      <x:c r="F13" s="72" t="n">
        <x:f>SUM(F7,F9,F11)</x:f>
        <x:v>23608.41</x:v>
      </x:c>
      <x:c r="G13" s="72" t="n">
        <x:f>SUM(G7,G9,G11)</x:f>
        <x:v>30221.799600000002</x:v>
      </x:c>
      <x:c r="H13" s="72" t="n">
        <x:f>SUM(H7,H9,H11)</x:f>
        <x:v>38389.26204</x:v>
      </x:c>
      <x:c r="I13" s="72" t="n">
        <x:f>SUM(I7,I9,I11)</x:f>
        <x:v>48279.6374832</x:v>
      </x:c>
      <x:c r="J13" s="72" t="n">
        <x:f>SUM(J7,J9,J11)</x:f>
        <x:v>59416.22674296</x:v>
      </x:c>
      <x:c r="K13" s="72" t="n">
        <x:f>SUM(K7,K9,K11)</x:f>
        <x:v>71505.4041458352</x:v>
      </x:c>
      <x:c r="L13" s="72" t="n">
        <x:f>SUM(L7,L9,L11)</x:f>
        <x:v>84609.64253643264</x:v>
      </x:c>
      <x:c r="M13" s="72" t="n">
        <x:f>SUM(M7,M9,M11)</x:f>
        <x:v>98410.05826069572</x:v>
      </x:c>
      <x:c r="N13" s="72" t="n">
        <x:f>SUM(N7,N9,N11)</x:f>
        <x:v>112329.38652333611</x:v>
      </x:c>
      <x:c r="O13" s="72" t="n">
        <x:f>SUM(O7,O9,O11)</x:f>
        <x:v>126239.46893103753</x:v>
      </x:c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55" t="str">
        <x:v>  % growth</x:v>
      </x:c>
      <x:c r="C14" s="70"/>
      <x:c r="D14" s="70" t="n">
        <x:f>D13/C13-1</x:f>
        <x:v>0.3492827572927699</x:v>
      </x:c>
      <x:c r="E14" s="70" t="n">
        <x:f>E13/D13-1</x:f>
        <x:v>0.3324295397788084</x:v>
      </x:c>
      <x:c r="F14" s="70" t="n">
        <x:f>F13/E13-1</x:f>
        <x:v>0.26423958444896645</x:v>
      </x:c>
      <x:c r="G14" s="70" t="n">
        <x:f>G13/F13-1</x:f>
        <x:v>0.28012854741170634</x:v>
      </x:c>
      <x:c r="H14" s="70" t="n">
        <x:f>H13/G13-1</x:f>
        <x:v>0.2702506981086592</x:v>
      </x:c>
      <x:c r="I14" s="70" t="n">
        <x:f>I13/H13-1</x:f>
        <x:v>0.25763390379566675</x:v>
      </x:c>
      <x:c r="J14" s="70" t="n">
        <x:f>J13/I13-1</x:f>
        <x:v>0.23066845238088685</x:v>
      </x:c>
      <x:c r="K14" s="70" t="n">
        <x:f>K13/J13-1</x:f>
        <x:v>0.20346592278863618</x:v>
      </x:c>
      <x:c r="L14" s="70" t="n">
        <x:f>L13/K13-1</x:f>
        <x:v>0.1832622099984409</x:v>
      </x:c>
      <x:c r="M14" s="70" t="n">
        <x:f>M13/L13-1</x:f>
        <x:v>0.16310689078163465</x:v>
      </x:c>
      <x:c r="N14" s="70" t="n">
        <x:f>N13/M13-1</x:f>
        <x:v>0.14144213008966044</x:v>
      </x:c>
      <x:c r="O14" s="70" t="n">
        <x:f>O13/N13-1</x:f>
        <x:v>0.12383297762257106</x:v>
      </x:c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1"/>
      <x:c r="B16" s="57" t="str">
        <x:v>Adjusted EBITDA</x:v>
      </x:c>
      <x:c r="C16" s="57" t="str">
        <x:v>Adjusted EBITDA</x:v>
      </x:c>
      <x:c r="D16" s="57" t="str">
        <x:v>Adjusted EBITDA</x:v>
      </x:c>
      <x:c r="E16" s="57" t="str">
        <x:v>Adjusted EBITDA</x:v>
      </x:c>
      <x:c r="F16" s="57" t="str">
        <x:v>Adjusted EBITDA</x:v>
      </x:c>
      <x:c r="G16" s="57" t="str">
        <x:v>Adjusted EBITDA</x:v>
      </x:c>
      <x:c r="H16" s="57" t="str">
        <x:v>Adjusted EBITDA</x:v>
      </x:c>
      <x:c r="I16" s="57" t="str">
        <x:v>Adjusted EBITDA</x:v>
      </x:c>
      <x:c r="J16" s="57" t="str">
        <x:v>Adjusted EBITDA</x:v>
      </x:c>
      <x:c r="K16" s="57" t="str">
        <x:v>Adjusted EBITDA</x:v>
      </x:c>
      <x:c r="L16" s="57" t="str">
        <x:v>Adjusted EBITDA</x:v>
      </x:c>
      <x:c r="M16" s="57" t="str">
        <x:v>Adjusted EBITDA</x:v>
      </x:c>
      <x:c r="N16" s="57" t="str">
        <x:v>Adjusted EBITDA</x:v>
      </x:c>
      <x:c r="O16" s="57" t="str">
        <x:v>Adjusted EBITDA</x:v>
      </x:c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1"/>
      <x:c r="B17" s="55" t="str">
        <x:v>Space Adj. EBITDA</x:v>
      </x:c>
      <x:c r="C17" s="59" t="n">
        <x:f>'Historical'!C26</x:f>
        <x:v>997</x:v>
      </x:c>
      <x:c r="D17" s="59" t="n">
        <x:f>'Historical'!D26</x:f>
        <x:v>1154</x:v>
      </x:c>
      <x:c r="E17" s="59" t="n">
        <x:f>'Historical'!E26</x:f>
        <x:v>653</x:v>
      </x:c>
      <x:c r="F17" s="69" t="n">
        <x:f>F7*INDEX('Assumptions'!C$24:C$48,1+12*('Assumptions'!$C$4-1),1)</x:f>
        <x:v>366.10560000000004</x:v>
      </x:c>
      <x:c r="G17" s="69" t="n">
        <x:f>G7*INDEX('Assumptions'!D$24:D$48,1+12*('Assumptions'!$C$4-1),1)</x:f>
        <x:v>756.0080640000001</x:v>
      </x:c>
      <x:c r="H17" s="69" t="n">
        <x:f>H7*INDEX('Assumptions'!E$24:E$48,1+12*('Assumptions'!$C$4-1),1)</x:f>
        <x:v>1296.013824</x:v>
      </x:c>
      <x:c r="I17" s="69" t="n">
        <x:f>I7*INDEX('Assumptions'!F$24:F$48,1+12*('Assumptions'!$C$4-1),1)</x:f>
        <x:v>1835.1555747839998</x:v>
      </x:c>
      <x:c r="J17" s="69" t="n">
        <x:f>J7*INDEX('Assumptions'!G$24:G$48,1+12*('Assumptions'!$C$4-1),1)</x:f>
        <x:v>2374.2325248768</x:v>
      </x:c>
      <x:c r="K17" s="69" t="n">
        <x:f>K7*INDEX('Assumptions'!H$24:H$48,1+12*('Assumptions'!$C$4-1),1)</x:f>
        <x:v>2856.113792888832</x:v>
      </x:c>
      <x:c r="L17" s="69" t="n">
        <x:f>L7*INDEX('Assumptions'!I$24:I$48,1+12*('Assumptions'!$C$4-1),1)</x:f>
        <x:v>3250.0605229424646</x:v>
      </x:c>
      <x:c r="M17" s="69" t="n">
        <x:f>M7*INDEX('Assumptions'!J$24:J$48,1+12*('Assumptions'!$C$4-1),1)</x:f>
        <x:v>3660.6515023408633</x:v>
      </x:c>
      <x:c r="N17" s="69" t="n">
        <x:f>N7*INDEX('Assumptions'!K$24:K$48,1+12*('Assumptions'!$C$4-1),1)</x:f>
        <x:v>4081.035997448395</x:v>
      </x:c>
      <x:c r="O17" s="69" t="n">
        <x:f>O7*INDEX('Assumptions'!L$24:L$48,1+12*('Assumptions'!$C$4-1),1)</x:f>
        <x:v>4503.168158434463</x:v>
      </x:c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1"/>
      <x:c r="B18" s="55" t="str">
        <x:v>  margin</x:v>
      </x:c>
      <x:c r="C18" s="70" t="n">
        <x:f>C17/C7</x:f>
        <x:v>0.28029238122012934</x:v>
      </x:c>
      <x:c r="D18" s="70" t="n">
        <x:f>D17/D7</x:f>
        <x:v>0.3040042149631191</x:v>
      </x:c>
      <x:c r="E18" s="70" t="n">
        <x:f>E17/E7</x:f>
        <x:v>0.15981399902104748</x:v>
      </x:c>
      <x:c r="F18" s="70" t="n">
        <x:f>F17/F7</x:f>
        <x:v>0.08</x:v>
      </x:c>
      <x:c r="G18" s="70" t="n">
        <x:f>G17/G7</x:f>
        <x:v>0.14</x:v>
      </x:c>
      <x:c r="H18" s="70" t="n">
        <x:f>H17/H7</x:f>
        <x:v>0.2</x:v>
      </x:c>
      <x:c r="I18" s="70" t="n">
        <x:f>I17/I7</x:f>
        <x:v>0.24</x:v>
      </x:c>
      <x:c r="J18" s="70" t="n">
        <x:f>J17/J7</x:f>
        <x:v>0.27</x:v>
      </x:c>
      <x:c r="K18" s="70" t="n">
        <x:f>K17/K7</x:f>
        <x:v>0.29</x:v>
      </x:c>
      <x:c r="L18" s="70" t="n">
        <x:f>L17/L7</x:f>
        <x:v>0.3</x:v>
      </x:c>
      <x:c r="M18" s="70" t="n">
        <x:f>M17/M7</x:f>
        <x:v>0.31</x:v>
      </x:c>
      <x:c r="N18" s="70" t="n">
        <x:f>N17/N7</x:f>
        <x:v>0.32</x:v>
      </x:c>
      <x:c r="O18" s="70" t="n">
        <x:f>O17/O7</x:f>
        <x:v>0.33</x:v>
      </x:c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55" t="str">
        <x:v>Connectivity Adj. EBITDA</x:v>
      </x:c>
      <x:c r="C19" s="59" t="n">
        <x:f>'Historical'!C27</x:f>
        <x:v>1602</x:v>
      </x:c>
      <x:c r="D19" s="59" t="n">
        <x:f>'Historical'!D27</x:f>
        <x:v>3849</x:v>
      </x:c>
      <x:c r="E19" s="59" t="n">
        <x:f>'Historical'!E27</x:f>
        <x:v>7168</x:v>
      </x:c>
      <x:c r="F19" s="69" t="n">
        <x:f>F9*INDEX('Assumptions'!C$25:C$49,1+12*('Assumptions'!$C$4-1),1)</x:f>
        <x:v>9319.1208</x:v>
      </x:c>
      <x:c r="G19" s="69" t="n">
        <x:f>G9*INDEX('Assumptions'!D$25:D$49,1+12*('Assumptions'!$C$4-1),1)</x:f>
        <x:v>12505.65888</x:v>
      </x:c>
      <x:c r="H19" s="69" t="n">
        <x:f>H9*INDEX('Assumptions'!E$25:E$49,1+12*('Assumptions'!$C$4-1),1)</x:f>
        <x:v>16003.335348000002</x:v>
      </x:c>
      <x:c r="I19" s="69" t="n">
        <x:f>I9*INDEX('Assumptions'!F$25:F$49,1+12*('Assumptions'!$C$4-1),1)</x:f>
        <x:v>19986.934823856</x:v>
      </x:c>
      <x:c r="J19" s="69" t="n">
        <x:f>J9*INDEX('Assumptions'!G$25:G$49,1+12*('Assumptions'!$C$4-1),1)</x:f>
        <x:v>23984.321788627203</x:v>
      </x:c>
      <x:c r="K19" s="69" t="n">
        <x:f>K9*INDEX('Assumptions'!H$25:H$49,1+12*('Assumptions'!$C$4-1),1)</x:f>
        <x:v>27636.47987916816</x:v>
      </x:c>
      <x:c r="L19" s="69" t="n">
        <x:f>L9*INDEX('Assumptions'!I$25:I$49,1+12*('Assumptions'!$C$4-1),1)</x:f>
        <x:v>31292.998755488865</x:v>
      </x:c>
      <x:c r="M19" s="69" t="n">
        <x:f>M9*INDEX('Assumptions'!J$25:J$49,1+12*('Assumptions'!$C$4-1),1)</x:f>
        <x:v>34808.571584425816</x:v>
      </x:c>
      <x:c r="N19" s="69" t="n">
        <x:f>N9*INDEX('Assumptions'!K$25:K$49,1+12*('Assumptions'!$C$4-1),1)</x:f>
        <x:v>38024.220578415625</x:v>
      </x:c>
      <x:c r="O19" s="69" t="n">
        <x:f>O9*INDEX('Assumptions'!L$25:L$49,1+12*('Assumptions'!$C$4-1),1)</x:f>
        <x:v>41152.01936793047</x:v>
      </x:c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55" t="str">
        <x:v>  margin</x:v>
      </x:c>
      <x:c r="C20" s="70" t="n">
        <x:f>C19/C9</x:f>
        <x:v>0.4140604807443784</x:v>
      </x:c>
      <x:c r="D20" s="70" t="n">
        <x:f>D19/D9</x:f>
        <x:v>0.5065140150019739</x:v>
      </x:c>
      <x:c r="E20" s="70" t="n">
        <x:f>E19/E9</x:f>
        <x:v>0.6294897690348643</x:v>
      </x:c>
      <x:c r="F20" s="70" t="n">
        <x:f>F19/F9</x:f>
        <x:v>0.62</x:v>
      </x:c>
      <x:c r="G20" s="70" t="n">
        <x:f>G19/G9</x:f>
        <x:v>0.64</x:v>
      </x:c>
      <x:c r="H20" s="70" t="n">
        <x:f>H19/H9</x:f>
        <x:v>0.65</x:v>
      </x:c>
      <x:c r="I20" s="70" t="n">
        <x:f>I19/I9</x:f>
        <x:v>0.66</x:v>
      </x:c>
      <x:c r="J20" s="70" t="n">
        <x:f>J19/J9</x:f>
        <x:v>0.66</x:v>
      </x:c>
      <x:c r="K20" s="70" t="n">
        <x:f>K19/K9</x:f>
        <x:v>0.65</x:v>
      </x:c>
      <x:c r="L20" s="70" t="n">
        <x:f>L19/L9</x:f>
        <x:v>0.64</x:v>
      </x:c>
      <x:c r="M20" s="70" t="n">
        <x:f>M19/M9</x:f>
        <x:v>0.63</x:v>
      </x:c>
      <x:c r="N20" s="70" t="n">
        <x:f>N19/N9</x:f>
        <x:v>0.62</x:v>
      </x:c>
      <x:c r="O20" s="70" t="n">
        <x:f>O19/O9</x:f>
        <x:v>0.61</x:v>
      </x:c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 t="str">
        <x:v>AI Adj. EBITDA</x:v>
      </x:c>
      <x:c r="C21" s="59" t="n">
        <x:f>'Historical'!C28</x:f>
        <x:v>1222</x:v>
      </x:c>
      <x:c r="D21" s="59" t="n">
        <x:f>'Historical'!D28</x:f>
        <x:v>347</x:v>
      </x:c>
      <x:c r="E21" s="59" t="n">
        <x:f>'Historical'!E28</x:f>
        <x:v>-1237</x:v>
      </x:c>
      <x:c r="F21" s="69" t="n">
        <x:f>F11*INDEX('Assumptions'!C$26:C$50,1+12*('Assumptions'!$C$4-1),1)</x:f>
        <x:v>-1400.4375</x:v>
      </x:c>
      <x:c r="G21" s="69" t="n">
        <x:f>G11*INDEX('Assumptions'!D$26:D$50,1+12*('Assumptions'!$C$4-1),1)</x:f>
        <x:v>-1161.9630000000002</x:v>
      </x:c>
      <x:c r="H21" s="69" t="n">
        <x:f>H11*INDEX('Assumptions'!E$26:E$50,1+12*('Assumptions'!$C$4-1),1)</x:f>
        <x:v>-364.43385000000006</x:v>
      </x:c>
      <x:c r="I21" s="69" t="n">
        <x:f>I11*INDEX('Assumptions'!F$26:F$50,1+12*('Assumptions'!$C$4-1),1)</x:f>
        <x:v>1034.992134</x:v>
      </x:c>
      <x:c r="J21" s="69" t="n">
        <x:f>J11*INDEX('Assumptions'!G$26:G$50,1+12*('Assumptions'!$C$4-1),1)</x:f>
        <x:v>3142.236118824</x:v>
      </x:c>
      <x:c r="K21" s="69" t="n">
        <x:f>K11*INDEX('Assumptions'!H$26:H$50,1+12*('Assumptions'!$C$4-1),1)</x:f>
        <x:v>5741.722362578401</x:v>
      </x:c>
      <x:c r="L21" s="69" t="n">
        <x:f>L11*INDEX('Assumptions'!I$26:I$50,1+12*('Assumptions'!$C$4-1),1)</x:f>
        <x:v>8708.278916577241</x:v>
      </x:c>
      <x:c r="M21" s="69" t="n">
        <x:f>M11*INDEX('Assumptions'!J$26:J$50,1+12*('Assumptions'!$C$4-1),1)</x:f>
        <x:v>11912.925557877668</x:v>
      </x:c>
      <x:c r="N21" s="69" t="n">
        <x:f>N11*INDEX('Assumptions'!K$26:K$50,1+12*('Assumptions'!$C$4-1),1)</x:f>
        <x:v>15298.7044006429</x:v>
      </x:c>
      <x:c r="O21" s="69" t="n">
        <x:f>O11*INDEX('Assumptions'!L$26:L$50,1+12*('Assumptions'!$C$4-1),1)</x:f>
        <x:v>18955.09475239655</x:v>
      </x:c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 t="str">
        <x:v>  margin</x:v>
      </x:c>
      <x:c r="C22" s="70" t="n">
        <x:f>C21/C11</x:f>
        <x:v>0.4126984126984127</x:v>
      </x:c>
      <x:c r="D22" s="70" t="n">
        <x:f>D21/D11</x:f>
        <x:v>0.13244274809160306</x:v>
      </x:c>
      <x:c r="E22" s="70" t="n">
        <x:f>E21/E11</x:f>
        <x:v>-0.38644173695720085</x:v>
      </x:c>
      <x:c r="F22" s="70" t="n">
        <x:f>F21/F11</x:f>
        <x:v>-0.35</x:v>
      </x:c>
      <x:c r="G22" s="70" t="n">
        <x:f>G21/G11</x:f>
        <x:v>-0.22</x:v>
      </x:c>
      <x:c r="H22" s="70" t="n">
        <x:f>H21/H11</x:f>
        <x:v>-0.05</x:v>
      </x:c>
      <x:c r="I22" s="70" t="n">
        <x:f>I21/I11</x:f>
        <x:v>0.1</x:v>
      </x:c>
      <x:c r="J22" s="70" t="n">
        <x:f>J21/J11</x:f>
        <x:v>0.22</x:v>
      </x:c>
      <x:c r="K22" s="70" t="n">
        <x:f>K21/K11</x:f>
        <x:v>0.3</x:v>
      </x:c>
      <x:c r="L22" s="70" t="n">
        <x:f>L21/L11</x:f>
        <x:v>0.35</x:v>
      </x:c>
      <x:c r="M22" s="70" t="n">
        <x:f>M21/M11</x:f>
        <x:v>0.38</x:v>
      </x:c>
      <x:c r="N22" s="70" t="n">
        <x:f>N21/N11</x:f>
        <x:v>0.4</x:v>
      </x:c>
      <x:c r="O22" s="70" t="n">
        <x:f>O21/O11</x:f>
        <x:v>0.42</x:v>
      </x:c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 t="str">
        <x:v>Corporate / reconciliation</x:v>
      </x:c>
      <x:c r="C23" s="59" t="n">
        <x:f>'Historical'!C29</x:f>
        <x:v>0</x:v>
      </x:c>
      <x:c r="D23" s="59" t="n">
        <x:f>'Historical'!D29</x:f>
        <x:v>0</x:v>
      </x:c>
      <x:c r="E23" s="59" t="n">
        <x:f>'Historical'!E29</x:f>
        <x:v>0</x:v>
      </x:c>
      <x:c r="F23" s="69" t="n">
        <x:f>-F13*2.0%</x:f>
        <x:v>-472.1682</x:v>
      </x:c>
      <x:c r="G23" s="69" t="n">
        <x:f>-G13*2.0%</x:f>
        <x:v>-604.435992</x:v>
      </x:c>
      <x:c r="H23" s="69" t="n">
        <x:f>-H13*2.0%</x:f>
        <x:v>-767.7852408</x:v>
      </x:c>
      <x:c r="I23" s="69" t="n">
        <x:f>-I13*2.0%</x:f>
        <x:v>-965.592749664</x:v>
      </x:c>
      <x:c r="J23" s="69" t="n">
        <x:f>-J13*2.0%</x:f>
        <x:v>-1188.3245348592002</x:v>
      </x:c>
      <x:c r="K23" s="69" t="n">
        <x:f>-K13*2.0%</x:f>
        <x:v>-1430.108082916704</x:v>
      </x:c>
      <x:c r="L23" s="69" t="n">
        <x:f>-L13*2.0%</x:f>
        <x:v>-1692.192850728653</x:v>
      </x:c>
      <x:c r="M23" s="69" t="n">
        <x:f>-M13*2.0%</x:f>
        <x:v>-1968.2011652139145</x:v>
      </x:c>
      <x:c r="N23" s="69" t="n">
        <x:f>-N13*2.0%</x:f>
        <x:v>-2246.5877304667224</x:v>
      </x:c>
      <x:c r="O23" s="69" t="n">
        <x:f>-O13*2.0%</x:f>
        <x:v>-2524.7893786207505</x:v>
      </x:c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71" t="str">
        <x:v>Adjusted EBITDA</x:v>
      </x:c>
      <x:c r="C24" s="72" t="n">
        <x:f>SUM(C17,C19,C21,C23)</x:f>
        <x:v>3821</x:v>
      </x:c>
      <x:c r="D24" s="72" t="n">
        <x:f>SUM(D17,D19,D21,D23)</x:f>
        <x:v>5350</x:v>
      </x:c>
      <x:c r="E24" s="72" t="n">
        <x:f>SUM(E17,E19,E21,E23)</x:f>
        <x:v>6584</x:v>
      </x:c>
      <x:c r="F24" s="72" t="n">
        <x:f>SUM(F17,F19,F21,F23)</x:f>
        <x:v>7812.620700000001</x:v>
      </x:c>
      <x:c r="G24" s="72" t="n">
        <x:f>SUM(G17,G19,G21,G23)</x:f>
        <x:v>11495.267952</x:v>
      </x:c>
      <x:c r="H24" s="72" t="n">
        <x:f>SUM(H17,H19,H21,H23)</x:f>
        <x:v>16167.1300812</x:v>
      </x:c>
      <x:c r="I24" s="72" t="n">
        <x:f>SUM(I17,I19,I21,I23)</x:f>
        <x:v>21891.489782976</x:v>
      </x:c>
      <x:c r="J24" s="72" t="n">
        <x:f>SUM(J17,J19,J21,J23)</x:f>
        <x:v>28312.465897468803</x:v>
      </x:c>
      <x:c r="K24" s="72" t="n">
        <x:f>SUM(K17,K19,K21,K23)</x:f>
        <x:v>34804.20795171869</x:v>
      </x:c>
      <x:c r="L24" s="72" t="n">
        <x:f>SUM(L17,L19,L21,L23)</x:f>
        <x:v>41559.14534427992</x:v>
      </x:c>
      <x:c r="M24" s="72" t="n">
        <x:f>SUM(M17,M19,M21,M23)</x:f>
        <x:v>48413.94747943043</x:v>
      </x:c>
      <x:c r="N24" s="72" t="n">
        <x:f>SUM(N17,N19,N21,N23)</x:f>
        <x:v>55157.373246040195</x:v>
      </x:c>
      <x:c r="O24" s="72" t="n">
        <x:f>SUM(O17,O19,O21,O23)</x:f>
        <x:v>62085.492900140736</x:v>
      </x:c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 t="str">
        <x:v>  margin</x:v>
      </x:c>
      <x:c r="C25" s="70" t="n">
        <x:f>C24/C13</x:f>
        <x:v>0.3678636757485318</x:v>
      </x:c>
      <x:c r="D25" s="70" t="n">
        <x:f>D24/D13</x:f>
        <x:v>0.3817338565822333</x:v>
      </x:c>
      <x:c r="E25" s="70" t="n">
        <x:f>E24/E13</x:f>
        <x:v>0.35257577380314875</x:v>
      </x:c>
      <x:c r="F25" s="70" t="n">
        <x:f>F24/F13</x:f>
        <x:v>0.3309253227981046</x:v>
      </x:c>
      <x:c r="G25" s="70" t="n">
        <x:f>G24/G13</x:f>
        <x:v>0.3803634497000635</x:v>
      </x:c>
      <x:c r="H25" s="70" t="n">
        <x:f>H24/H13</x:f>
        <x:v>0.42113677685063416</x:v>
      </x:c>
      <x:c r="I25" s="70" t="n">
        <x:f>I24/I13</x:f>
        <x:v>0.4534311134915552</x:v>
      </x:c>
      <x:c r="J25" s="70" t="n">
        <x:f>J24/J13</x:f>
        <x:v>0.4765106680360418</x:v>
      </x:c>
      <x:c r="K25" s="70" t="n">
        <x:f>K24/K13</x:f>
        <x:v>0.48673535053008776</x:v>
      </x:c>
      <x:c r="L25" s="70" t="n">
        <x:f>L24/L13</x:f>
        <x:v>0.4911868682861375</x:v>
      </x:c>
      <x:c r="M25" s="70" t="n">
        <x:f>M24/M13</x:f>
        <x:v>0.491961374021121</x:v>
      </x:c>
      <x:c r="N25" s="70" t="n">
        <x:f>N24/N13</x:f>
        <x:v>0.49103244443146143</x:v>
      </x:c>
      <x:c r="O25" s="70" t="n">
        <x:f>O24/O13</x:f>
        <x:v>0.4918073042121001</x:v>
      </x:c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M2"/>
    <x:mergeCell ref="B6:O6"/>
    <x:mergeCell ref="B16:O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Consolidated DCF</x:v>
      </x:c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 t="str">
        <x:v>DCF is a cross-check; SOTP is primary due to different segment maturity and AI optionality</x:v>
      </x:c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68" t="str">
        <x:v>USD in millions</x:v>
      </x:c>
      <x:c r="C5" s="68" t="n">
        <x:v>2026</x:v>
      </x:c>
      <x:c r="D5" s="68" t="n">
        <x:v>2027</x:v>
      </x:c>
      <x:c r="E5" s="68" t="n">
        <x:v>2028</x:v>
      </x:c>
      <x:c r="F5" s="68" t="n">
        <x:v>2029</x:v>
      </x:c>
      <x:c r="G5" s="68" t="n">
        <x:v>2030</x:v>
      </x:c>
      <x:c r="H5" s="68" t="n">
        <x:v>2031</x:v>
      </x:c>
      <x:c r="I5" s="68" t="n">
        <x:v>2032</x:v>
      </x:c>
      <x:c r="J5" s="68" t="n">
        <x:v>2033</x:v>
      </x:c>
      <x:c r="K5" s="68" t="n">
        <x:v>2034</x:v>
      </x:c>
      <x:c r="L5" s="68" t="n">
        <x:v>2035</x:v>
      </x:c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55" t="str">
        <x:v>Revenue</x:v>
      </x:c>
      <x:c r="C7" s="59" t="n">
        <x:f>'Segment Model'!F13</x:f>
        <x:v>23608.41</x:v>
      </x:c>
      <x:c r="D7" s="59" t="n">
        <x:f>'Segment Model'!G13</x:f>
        <x:v>30221.799600000002</x:v>
      </x:c>
      <x:c r="E7" s="59" t="n">
        <x:f>'Segment Model'!H13</x:f>
        <x:v>38389.26204</x:v>
      </x:c>
      <x:c r="F7" s="59" t="n">
        <x:f>'Segment Model'!I13</x:f>
        <x:v>48279.6374832</x:v>
      </x:c>
      <x:c r="G7" s="59" t="n">
        <x:f>'Segment Model'!J13</x:f>
        <x:v>59416.22674296</x:v>
      </x:c>
      <x:c r="H7" s="59" t="n">
        <x:f>'Segment Model'!K13</x:f>
        <x:v>71505.4041458352</x:v>
      </x:c>
      <x:c r="I7" s="59" t="n">
        <x:f>'Segment Model'!L13</x:f>
        <x:v>84609.64253643264</x:v>
      </x:c>
      <x:c r="J7" s="59" t="n">
        <x:f>'Segment Model'!M13</x:f>
        <x:v>98410.05826069572</x:v>
      </x:c>
      <x:c r="K7" s="59" t="n">
        <x:f>'Segment Model'!N13</x:f>
        <x:v>112329.38652333611</x:v>
      </x:c>
      <x:c r="L7" s="59" t="n">
        <x:f>'Segment Model'!O13</x:f>
        <x:v>126239.46893103753</x:v>
      </x:c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55" t="str">
        <x:v>Adjusted EBITDA</x:v>
      </x:c>
      <x:c r="C8" s="59" t="n">
        <x:f>'Segment Model'!F24</x:f>
        <x:v>7812.620700000001</x:v>
      </x:c>
      <x:c r="D8" s="59" t="n">
        <x:f>'Segment Model'!G24</x:f>
        <x:v>11495.267952</x:v>
      </x:c>
      <x:c r="E8" s="59" t="n">
        <x:f>'Segment Model'!H24</x:f>
        <x:v>16167.1300812</x:v>
      </x:c>
      <x:c r="F8" s="59" t="n">
        <x:f>'Segment Model'!I24</x:f>
        <x:v>21891.489782976</x:v>
      </x:c>
      <x:c r="G8" s="59" t="n">
        <x:f>'Segment Model'!J24</x:f>
        <x:v>28312.465897468803</x:v>
      </x:c>
      <x:c r="H8" s="59" t="n">
        <x:f>'Segment Model'!K24</x:f>
        <x:v>34804.20795171869</x:v>
      </x:c>
      <x:c r="I8" s="59" t="n">
        <x:f>'Segment Model'!L24</x:f>
        <x:v>41559.14534427992</x:v>
      </x:c>
      <x:c r="J8" s="59" t="n">
        <x:f>'Segment Model'!M24</x:f>
        <x:v>48413.94747943043</x:v>
      </x:c>
      <x:c r="K8" s="59" t="n">
        <x:f>'Segment Model'!N24</x:f>
        <x:v>55157.373246040195</x:v>
      </x:c>
      <x:c r="L8" s="59" t="n">
        <x:f>'Segment Model'!O24</x:f>
        <x:v>62085.492900140736</x:v>
      </x:c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55" t="str">
        <x:v>D&amp;A</x:v>
      </x:c>
      <x:c r="C9" s="69" t="n">
        <x:f>C7*INDEX('Assumptions'!C$27:C$51,1+12*('Assumptions'!$C$4-1),1)</x:f>
        <x:v>4249.5138</x:v>
      </x:c>
      <x:c r="D9" s="69" t="n">
        <x:f>D7*INDEX('Assumptions'!D$27:D$51,1+12*('Assumptions'!$C$4-1),1)</x:f>
        <x:v>5137.705932000001</x:v>
      </x:c>
      <x:c r="E9" s="69" t="n">
        <x:f>E7*INDEX('Assumptions'!E$27:E$51,1+12*('Assumptions'!$C$4-1),1)</x:f>
        <x:v>6142.2819264</x:v>
      </x:c>
      <x:c r="F9" s="69" t="n">
        <x:f>F7*INDEX('Assumptions'!F$27:F$51,1+12*('Assumptions'!$C$4-1),1)</x:f>
        <x:v>7241.94562248</x:v>
      </x:c>
      <x:c r="G9" s="69" t="n">
        <x:f>G7*INDEX('Assumptions'!G$27:G$51,1+12*('Assumptions'!$C$4-1),1)</x:f>
        <x:v>8318.2717440144</x:v>
      </x:c>
      <x:c r="H9" s="69" t="n">
        <x:f>H7*INDEX('Assumptions'!H$27:H$51,1+12*('Assumptions'!$C$4-1),1)</x:f>
        <x:v>9295.702538958576</x:v>
      </x:c>
      <x:c r="I9" s="69" t="n">
        <x:f>I7*INDEX('Assumptions'!I$27:I$51,1+12*('Assumptions'!$C$4-1),1)</x:f>
        <x:v>10153.157104371916</x:v>
      </x:c>
      <x:c r="J9" s="69" t="n">
        <x:f>J7*INDEX('Assumptions'!J$27:J$51,1+12*('Assumptions'!$C$4-1),1)</x:f>
        <x:v>10825.10640867653</x:v>
      </x:c>
      <x:c r="K9" s="69" t="n">
        <x:f>K7*INDEX('Assumptions'!K$27:K$51,1+12*('Assumptions'!$C$4-1),1)</x:f>
        <x:v>11232.938652333612</x:v>
      </x:c>
      <x:c r="L9" s="69" t="n">
        <x:f>L7*INDEX('Assumptions'!L$27:L$51,1+12*('Assumptions'!$C$4-1),1)</x:f>
        <x:v>11361.552203793377</x:v>
      </x:c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55" t="str">
        <x:v>EBIT</x:v>
      </x:c>
      <x:c r="C10" s="69" t="n">
        <x:f>C8-C9</x:f>
        <x:v>3563.1069000000016</x:v>
      </x:c>
      <x:c r="D10" s="69" t="n">
        <x:f>D8-D9</x:f>
        <x:v>6357.562019999999</x:v>
      </x:c>
      <x:c r="E10" s="69" t="n">
        <x:f>E8-E9</x:f>
        <x:v>10024.848154800002</x:v>
      </x:c>
      <x:c r="F10" s="69" t="n">
        <x:f>F8-F9</x:f>
        <x:v>14649.544160496001</x:v>
      </x:c>
      <x:c r="G10" s="69" t="n">
        <x:f>G8-G9</x:f>
        <x:v>19994.194153454402</x:v>
      </x:c>
      <x:c r="H10" s="69" t="n">
        <x:f>H8-H9</x:f>
        <x:v>25508.50541276011</x:v>
      </x:c>
      <x:c r="I10" s="69" t="n">
        <x:f>I8-I9</x:f>
        <x:v>31405.988239908</x:v>
      </x:c>
      <x:c r="J10" s="69" t="n">
        <x:f>J8-J9</x:f>
        <x:v>37588.8410707539</x:v>
      </x:c>
      <x:c r="K10" s="69" t="n">
        <x:f>K8-K9</x:f>
        <x:v>43924.43459370658</x:v>
      </x:c>
      <x:c r="L10" s="69" t="n">
        <x:f>L8-L9</x:f>
        <x:v>50723.94069634736</x:v>
      </x:c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55" t="str">
        <x:v>Cash taxes</x:v>
      </x:c>
      <x:c r="C11" s="69" t="n">
        <x:f>-MAX(0,C10)*'Assumptions'!$C$10</x:f>
        <x:v>-748.2524490000003</x:v>
      </x:c>
      <x:c r="D11" s="69" t="n">
        <x:f>-MAX(0,D10)*'Assumptions'!$C$10</x:f>
        <x:v>-1335.0880241999998</x:v>
      </x:c>
      <x:c r="E11" s="69" t="n">
        <x:f>-MAX(0,E10)*'Assumptions'!$C$10</x:f>
        <x:v>-2105.218112508</x:v>
      </x:c>
      <x:c r="F11" s="69" t="n">
        <x:f>-MAX(0,F10)*'Assumptions'!$C$10</x:f>
        <x:v>-3076.40427370416</x:v>
      </x:c>
      <x:c r="G11" s="69" t="n">
        <x:f>-MAX(0,G10)*'Assumptions'!$C$10</x:f>
        <x:v>-4198.780772225425</x:v>
      </x:c>
      <x:c r="H11" s="69" t="n">
        <x:f>-MAX(0,H10)*'Assumptions'!$C$10</x:f>
        <x:v>-5356.786136679623</x:v>
      </x:c>
      <x:c r="I11" s="69" t="n">
        <x:f>-MAX(0,I10)*'Assumptions'!$C$10</x:f>
        <x:v>-6595.25753038068</x:v>
      </x:c>
      <x:c r="J11" s="69" t="n">
        <x:f>-MAX(0,J10)*'Assumptions'!$C$10</x:f>
        <x:v>-7893.6566248583185</x:v>
      </x:c>
      <x:c r="K11" s="69" t="n">
        <x:f>-MAX(0,K10)*'Assumptions'!$C$10</x:f>
        <x:v>-9224.13126467838</x:v>
      </x:c>
      <x:c r="L11" s="69" t="n">
        <x:f>-MAX(0,L10)*'Assumptions'!$C$10</x:f>
        <x:v>-10652.027546232945</x:v>
      </x:c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5" t="str">
        <x:v>NOPAT</x:v>
      </x:c>
      <x:c r="C12" s="69" t="n">
        <x:f>SUM(C10:C11)</x:f>
        <x:v>2814.854451000001</x:v>
      </x:c>
      <x:c r="D12" s="69" t="n">
        <x:f>SUM(D10:D11)</x:f>
        <x:v>5022.473995799999</x:v>
      </x:c>
      <x:c r="E12" s="69" t="n">
        <x:f>SUM(E10:E11)</x:f>
        <x:v>7919.630042292001</x:v>
      </x:c>
      <x:c r="F12" s="69" t="n">
        <x:f>SUM(F10:F11)</x:f>
        <x:v>11573.139886791841</x:v>
      </x:c>
      <x:c r="G12" s="69" t="n">
        <x:f>SUM(G10:G11)</x:f>
        <x:v>15795.413381228977</x:v>
      </x:c>
      <x:c r="H12" s="69" t="n">
        <x:f>SUM(H10:H11)</x:f>
        <x:v>20151.719276080486</x:v>
      </x:c>
      <x:c r="I12" s="69" t="n">
        <x:f>SUM(I10:I11)</x:f>
        <x:v>24810.73070952732</x:v>
      </x:c>
      <x:c r="J12" s="69" t="n">
        <x:f>SUM(J10:J11)</x:f>
        <x:v>29695.184445895582</x:v>
      </x:c>
      <x:c r="K12" s="69" t="n">
        <x:f>SUM(K10:K11)</x:f>
        <x:v>34700.303329028204</x:v>
      </x:c>
      <x:c r="L12" s="69" t="n">
        <x:f>SUM(L10:L11)</x:f>
        <x:v>40071.913150114415</x:v>
      </x:c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55" t="str">
        <x:v>D&amp;A add-back</x:v>
      </x:c>
      <x:c r="C13" s="69" t="n">
        <x:f>C9</x:f>
        <x:v>4249.5138</x:v>
      </x:c>
      <x:c r="D13" s="69" t="n">
        <x:f>D9</x:f>
        <x:v>5137.705932000001</x:v>
      </x:c>
      <x:c r="E13" s="69" t="n">
        <x:f>E9</x:f>
        <x:v>6142.2819264</x:v>
      </x:c>
      <x:c r="F13" s="69" t="n">
        <x:f>F9</x:f>
        <x:v>7241.94562248</x:v>
      </x:c>
      <x:c r="G13" s="69" t="n">
        <x:f>G9</x:f>
        <x:v>8318.2717440144</x:v>
      </x:c>
      <x:c r="H13" s="69" t="n">
        <x:f>H9</x:f>
        <x:v>9295.702538958576</x:v>
      </x:c>
      <x:c r="I13" s="69" t="n">
        <x:f>I9</x:f>
        <x:v>10153.157104371916</x:v>
      </x:c>
      <x:c r="J13" s="69" t="n">
        <x:f>J9</x:f>
        <x:v>10825.10640867653</x:v>
      </x:c>
      <x:c r="K13" s="69" t="n">
        <x:f>K9</x:f>
        <x:v>11232.938652333612</x:v>
      </x:c>
      <x:c r="L13" s="69" t="n">
        <x:f>L9</x:f>
        <x:v>11361.552203793377</x:v>
      </x:c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55" t="str">
        <x:v>Capital expenditures</x:v>
      </x:c>
      <x:c r="C14" s="69" t="n">
        <x:f>-C7*INDEX('Assumptions'!C$28:C$52,1+12*('Assumptions'!$C$4-1),1)</x:f>
        <x:v>-21247.569</x:v>
      </x:c>
      <x:c r="D14" s="69" t="n">
        <x:f>-D7*INDEX('Assumptions'!D$28:D$52,1+12*('Assumptions'!$C$4-1),1)</x:f>
        <x:v>-20550.823728000003</x:v>
      </x:c>
      <x:c r="E14" s="69" t="n">
        <x:f>-E7*INDEX('Assumptions'!E$28:E$52,1+12*('Assumptions'!$C$4-1),1)</x:f>
        <x:v>-19194.63102</x:v>
      </x:c>
      <x:c r="F14" s="69" t="n">
        <x:f>-F7*INDEX('Assumptions'!F$28:F$52,1+12*('Assumptions'!$C$4-1),1)</x:f>
        <x:v>-18346.262243616</x:v>
      </x:c>
      <x:c r="G14" s="69" t="n">
        <x:f>-G7*INDEX('Assumptions'!G$28:G$52,1+12*('Assumptions'!$C$4-1),1)</x:f>
        <x:v>-17824.868022888</x:v>
      </x:c>
      <x:c r="H14" s="69" t="n">
        <x:f>-H7*INDEX('Assumptions'!H$28:H$52,1+12*('Assumptions'!$C$4-1),1)</x:f>
        <x:v>-17161.296995000448</x:v>
      </x:c>
      <x:c r="I14" s="69" t="n">
        <x:f>-I7*INDEX('Assumptions'!I$28:I$52,1+12*('Assumptions'!$C$4-1),1)</x:f>
        <x:v>-16921.928507286528</x:v>
      </x:c>
      <x:c r="J14" s="69" t="n">
        <x:f>-J7*INDEX('Assumptions'!J$28:J$52,1+12*('Assumptions'!$C$4-1),1)</x:f>
        <x:v>-16729.70990431827</x:v>
      </x:c>
      <x:c r="K14" s="69" t="n">
        <x:f>-K7*INDEX('Assumptions'!K$28:K$52,1+12*('Assumptions'!$C$4-1),1)</x:f>
        <x:v>-16849.407978500418</x:v>
      </x:c>
      <x:c r="L14" s="69" t="n">
        <x:f>-L7*INDEX('Assumptions'!L$28:L$52,1+12*('Assumptions'!$C$4-1),1)</x:f>
        <x:v>-16411.13096103488</x:v>
      </x:c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55" t="str">
        <x:v>Change in NWC</x:v>
      </x:c>
      <x:c r="C15" s="69" t="n">
        <x:f>-(C7-'Historical'!$E$7)*INDEX('Assumptions'!C$29:C$53,1+12*('Assumptions'!$C$4-1),1)</x:f>
        <x:v>-148.0323</x:v>
      </x:c>
      <x:c r="D15" s="69" t="n">
        <x:f>-(D7-C7)*INDEX('Assumptions'!D$29:D$53,1+12*('Assumptions'!$C$4-1),1)</x:f>
        <x:v>-198.40168800000006</x:v>
      </x:c>
      <x:c r="E15" s="69" t="n">
        <x:f>-(E7-D7)*INDEX('Assumptions'!E$29:E$53,1+12*('Assumptions'!$C$4-1),1)</x:f>
        <x:v>-245.02387319999997</x:v>
      </x:c>
      <x:c r="F15" s="69" t="n">
        <x:f>-(F7-E7)*INDEX('Assumptions'!F$29:F$53,1+12*('Assumptions'!$C$4-1),1)</x:f>
        <x:v>-296.71126329599997</x:v>
      </x:c>
      <x:c r="G15" s="69" t="n">
        <x:f>-(G7-F7)*INDEX('Assumptions'!G$29:G$53,1+12*('Assumptions'!$C$4-1),1)</x:f>
        <x:v>-334.0976777928001</x:v>
      </x:c>
      <x:c r="H15" s="69" t="n">
        <x:f>-(H7-G7)*INDEX('Assumptions'!H$29:H$53,1+12*('Assumptions'!$C$4-1),1)</x:f>
        <x:v>-362.6753220862559</x:v>
      </x:c>
      <x:c r="I15" s="69" t="n">
        <x:f>-(I7-H7)*INDEX('Assumptions'!I$29:I$53,1+12*('Assumptions'!$C$4-1),1)</x:f>
        <x:v>-393.12715171792325</x:v>
      </x:c>
      <x:c r="J15" s="69" t="n">
        <x:f>-(J7-I7)*INDEX('Assumptions'!J$29:J$53,1+12*('Assumptions'!$C$4-1),1)</x:f>
        <x:v>-414.01247172789226</x:v>
      </x:c>
      <x:c r="K15" s="69" t="n">
        <x:f>-(K7-J7)*INDEX('Assumptions'!K$29:K$53,1+12*('Assumptions'!$C$4-1),1)</x:f>
        <x:v>-417.57984787921185</x:v>
      </x:c>
      <x:c r="L15" s="69" t="n">
        <x:f>-(L7-K7)*INDEX('Assumptions'!L$29:L$53,1+12*('Assumptions'!$C$4-1),1)</x:f>
        <x:v>-417.3024722310423</x:v>
      </x:c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1"/>
      <x:c r="B16" s="71" t="str">
        <x:v>Unlevered FCF</x:v>
      </x:c>
      <x:c r="C16" s="72" t="n">
        <x:f>SUM(C12:C15)</x:f>
        <x:v>-14331.233049</x:v>
      </x:c>
      <x:c r="D16" s="72" t="n">
        <x:f>SUM(D12:D15)</x:f>
        <x:v>-10589.045488200003</x:v>
      </x:c>
      <x:c r="E16" s="72" t="n">
        <x:f>SUM(E12:E15)</x:f>
        <x:v>-5377.742924507998</x:v>
      </x:c>
      <x:c r="F16" s="72" t="n">
        <x:f>SUM(F12:F15)</x:f>
        <x:v>172.11200235983938</x:v>
      </x:c>
      <x:c r="G16" s="72" t="n">
        <x:f>SUM(G12:G15)</x:f>
        <x:v>5954.719424562577</x:v>
      </x:c>
      <x:c r="H16" s="72" t="n">
        <x:f>SUM(H12:H15)</x:f>
        <x:v>11923.449497952359</x:v>
      </x:c>
      <x:c r="I16" s="72" t="n">
        <x:f>SUM(I12:I15)</x:f>
        <x:v>17648.832154894786</x:v>
      </x:c>
      <x:c r="J16" s="72" t="n">
        <x:f>SUM(J12:J15)</x:f>
        <x:v>23376.56847852595</x:v>
      </x:c>
      <x:c r="K16" s="72" t="n">
        <x:f>SUM(K12:K15)</x:f>
        <x:v>28666.254154982187</x:v>
      </x:c>
      <x:c r="L16" s="72" t="n">
        <x:f>SUM(L12:L15)</x:f>
        <x:v>34605.03192064187</x:v>
      </x:c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1"/>
      <x:c r="B17" s="55" t="str">
        <x:v>Discount factor</x:v>
      </x:c>
      <x:c r="C17" s="79" t="n">
        <x:f>1/(1+'Assumptions'!$C$8)^(1-0.5)</x:f>
        <x:v>0.9449111825230679</x:v>
      </x:c>
      <x:c r="D17" s="79" t="n">
        <x:f>1/(1+'Assumptions'!$C$8)^(2-0.5)</x:f>
        <x:v>0.8436706986813106</x:v>
      </x:c>
      <x:c r="E17" s="79" t="n">
        <x:f>1/(1+'Assumptions'!$C$8)^(3-0.5)</x:f>
        <x:v>0.7532774095368845</x:v>
      </x:c>
      <x:c r="F17" s="79" t="n">
        <x:f>1/(1+'Assumptions'!$C$8)^(4-0.5)</x:f>
        <x:v>0.6725691156579324</x:v>
      </x:c>
      <x:c r="G17" s="79" t="n">
        <x:f>1/(1+'Assumptions'!$C$8)^(5-0.5)</x:f>
        <x:v>0.6005081389802968</x:v>
      </x:c>
      <x:c r="H17" s="79" t="n">
        <x:f>1/(1+'Assumptions'!$C$8)^(6-0.5)</x:f>
        <x:v>0.5361679812324078</x:v>
      </x:c>
      <x:c r="I17" s="79" t="n">
        <x:f>1/(1+'Assumptions'!$C$8)^(7-0.5)</x:f>
        <x:v>0.4787214118146497</x:v>
      </x:c>
      <x:c r="J17" s="79" t="n">
        <x:f>1/(1+'Assumptions'!$C$8)^(8-0.5)</x:f>
        <x:v>0.42742983197736584</x:v>
      </x:c>
      <x:c r="K17" s="79" t="n">
        <x:f>1/(1+'Assumptions'!$C$8)^(9-0.5)</x:f>
        <x:v>0.38163377855121944</x:v>
      </x:c>
      <x:c r="L17" s="79" t="n">
        <x:f>1/(1+'Assumptions'!$C$8)^(10-0.5)</x:f>
        <x:v>0.34074444513501734</x:v>
      </x:c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1"/>
      <x:c r="B18" s="71" t="str">
        <x:v>PV of UFCF</x:v>
      </x:c>
      <x:c r="C18" s="72" t="n">
        <x:f>C16*C17</x:f>
        <x:v>-13541.742367344263</x:v>
      </x:c>
      <x:c r="D18" s="72" t="n">
        <x:f>D16*D17</x:f>
        <x:v>-8933.667405397877</x:v>
      </x:c>
      <x:c r="E18" s="72" t="n">
        <x:f>E16*E17</x:f>
        <x:v>-4050.9322593286943</x:v>
      </x:c>
      <x:c r="F18" s="72" t="n">
        <x:f>F16*F17</x:f>
        <x:v>115.75721722127315</x:v>
      </x:c>
      <x:c r="G18" s="72" t="n">
        <x:f>G16*G17</x:f>
        <x:v>3575.857479793897</x:v>
      </x:c>
      <x:c r="H18" s="72" t="n">
        <x:f>H16*H17</x:f>
        <x:v>6392.9718466436825</x:v>
      </x:c>
      <x:c r="I18" s="72" t="n">
        <x:f>I16*I17</x:f>
        <x:v>8448.87384607102</x:v>
      </x:c>
      <x:c r="J18" s="72" t="n">
        <x:f>J16*J17</x:f>
        <x:v>9991.842736983734</x:v>
      </x:c>
      <x:c r="K18" s="72" t="n">
        <x:f>K16*K17</x:f>
        <x:v>10940.010890075446</x:v>
      </x:c>
      <x:c r="L18" s="72" t="n">
        <x:f>L16*L17</x:f>
        <x:v>11791.472400678678</x:v>
      </x:c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7" t="str">
        <x:v>Terminal Value &amp; Equity Bridge</x:v>
      </x:c>
      <x:c r="C21" s="57" t="str">
        <x:v>Terminal Value &amp; Equity Bridge</x:v>
      </x:c>
      <x:c r="D21" s="57" t="str">
        <x:v>Terminal Value &amp; Equity Bridge</x:v>
      </x:c>
      <x:c r="E21" s="57" t="str">
        <x:v>Terminal Value &amp; Equity Bridge</x:v>
      </x:c>
      <x:c r="F21" s="57" t="str">
        <x:v>Terminal Value &amp; Equity Bridge</x:v>
      </x:c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 t="str">
        <x:v>PV of forecast UFCF</x:v>
      </x:c>
      <x:c r="C22" s="69" t="n">
        <x:f>SUM(C18:L18)</x:f>
        <x:v>24730.4443853969</x:v>
      </x:c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 t="str">
        <x:v>Terminal-year UFCF</x:v>
      </x:c>
      <x:c r="C23" s="69" t="n">
        <x:f>L16</x:f>
        <x:v>34605.03192064187</x:v>
      </x:c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55" t="str">
        <x:v>Terminal growth</x:v>
      </x:c>
      <x:c r="C24" s="63" t="n">
        <x:f>'Assumptions'!C9</x:f>
        <x:v>0.035</x:v>
      </x:c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 t="str">
        <x:v>WACC</x:v>
      </x:c>
      <x:c r="C25" s="63" t="n">
        <x:f>'Assumptions'!C8</x:f>
        <x:v>0.12</x:v>
      </x:c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 t="str">
        <x:v>Terminal value</x:v>
      </x:c>
      <x:c r="C26" s="69" t="n">
        <x:f>C23*(1+C24)/(C25-C24)</x:f>
        <x:v>421367.1533866393</x:v>
      </x:c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 t="str">
        <x:v>PV of terminal value</x:v>
      </x:c>
      <x:c r="C27" s="69" t="n">
        <x:f>C26*L17</x:f>
        <x:v>143578.51687885216</x:v>
      </x:c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71" t="str">
        <x:v>Enterprise value</x:v>
      </x:c>
      <x:c r="C28" s="72" t="n">
        <x:f>SUM(C22,C27)</x:f>
        <x:v>168308.96126424905</x:v>
      </x:c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 t="str">
        <x:v>Pro forma net cash</x:v>
      </x:c>
      <x:c r="C29" s="59" t="n">
        <x:f>'Assumptions'!C17</x:f>
        <x:v>20221.4</x:v>
      </x:c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71" t="str">
        <x:v>Equity value</x:v>
      </x:c>
      <x:c r="C30" s="72" t="n">
        <x:f>SUM(C28:C29)</x:f>
        <x:v>188530.36126424905</x:v>
      </x:c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 t="str">
        <x:v>Diluted shares (mm)</x:v>
      </x:c>
      <x:c r="C31" s="80" t="n">
        <x:f>'Assumptions'!C13</x:f>
        <x:v>13631.4</x:v>
      </x:c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60" t="str">
        <x:v>DCF value / share</x:v>
      </x:c>
      <x:c r="C32" s="81" t="n">
        <x:f>C30/C31</x:f>
        <x:v>13.830594162320015</x:v>
      </x:c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60" t="str">
        <x:v>Upside / (downside)</x:v>
      </x:c>
      <x:c r="C33" s="82" t="n">
        <x:f>C32/'Assumptions'!C11-1</x:f>
        <x:v>-0.8781445448253743</x:v>
      </x:c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M2"/>
    <x:mergeCell ref="B21:F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Sum-of-the-Parts Valuation</x:v>
      </x:c>
      <x:c r="C2" s="56"/>
      <x:c r="D2" s="56"/>
      <x:c r="E2" s="56"/>
      <x:c r="F2" s="56"/>
      <x:c r="G2" s="56"/>
      <x:c r="H2" s="56"/>
      <x:c r="I2" s="56"/>
      <x:c r="J2" s="56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 t="str">
        <x:v>Primary methodology: 2028E segment metrics × case-specific multiples, discounted to present</x:v>
      </x:c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68" t="str">
        <x:v>Segment</x:v>
      </x:c>
      <x:c r="C5" s="68" t="str">
        <x:v>2028E Metric</x:v>
      </x:c>
      <x:c r="D5" s="68" t="str">
        <x:v>Metric</x:v>
      </x:c>
      <x:c r="E5" s="68" t="str">
        <x:v>Bear</x:v>
      </x:c>
      <x:c r="F5" s="68" t="str">
        <x:v>Base</x:v>
      </x:c>
      <x:c r="G5" s="68" t="str">
        <x:v>Bull</x:v>
      </x:c>
      <x:c r="H5" s="68" t="str">
        <x:v>Selected</x:v>
      </x:c>
      <x:c r="I5" s="68" t="str">
        <x:v>2028E EV</x:v>
      </x:c>
      <x:c r="J5" s="68" t="str">
        <x:v>PV of EV</x:v>
      </x:c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55" t="str">
        <x:v>Space</x:v>
      </x:c>
      <x:c r="C6" s="59" t="n">
        <x:f>'Segment Model'!H17</x:f>
        <x:v>1296.013824</x:v>
      </x:c>
      <x:c r="D6" s="73" t="str">
        <x:v>Adj. EBITDA</x:v>
      </x:c>
      <x:c r="E6" s="73" t="n">
        <x:v>22</x:v>
      </x:c>
      <x:c r="F6" s="73" t="n">
        <x:v>30</x:v>
      </x:c>
      <x:c r="G6" s="55" t="n">
        <x:v>38</x:v>
      </x:c>
      <x:c r="H6" s="83" t="n">
        <x:f>INDEX(D6:F6,1,'Assumptions'!$C$4)</x:f>
        <x:v>22</x:v>
      </x:c>
      <x:c r="I6" s="69" t="n">
        <x:f>C6*H6</x:f>
        <x:v>28512.304128000003</x:v>
      </x:c>
      <x:c r="J6" s="69" t="n">
        <x:f>I6/(1+'Assumptions'!$C$8)^2</x:f>
        <x:v>22729.834285714285</x:v>
      </x:c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55" t="str">
        <x:v>Connectivity</x:v>
      </x:c>
      <x:c r="C7" s="59" t="n">
        <x:f>'Segment Model'!H19</x:f>
        <x:v>16003.335348000002</x:v>
      </x:c>
      <x:c r="D7" s="73" t="str">
        <x:v>Adj. EBITDA</x:v>
      </x:c>
      <x:c r="E7" s="73" t="n">
        <x:v>18</x:v>
      </x:c>
      <x:c r="F7" s="73" t="n">
        <x:v>24</x:v>
      </x:c>
      <x:c r="G7" s="55" t="n">
        <x:v>30</x:v>
      </x:c>
      <x:c r="H7" s="83" t="n">
        <x:f>INDEX(D7:F7,1,'Assumptions'!$C$4)</x:f>
        <x:v>18</x:v>
      </x:c>
      <x:c r="I7" s="69" t="n">
        <x:f>C7*H7</x:f>
        <x:v>288060.03626400005</x:v>
      </x:c>
      <x:c r="J7" s="69" t="n">
        <x:f>I7/(1+'Assumptions'!$C$8)^2</x:f>
        <x:v>229639.69727678574</x:v>
      </x:c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55" t="str">
        <x:v>AI</x:v>
      </x:c>
      <x:c r="C8" s="59" t="n">
        <x:f>'Segment Model'!H11</x:f>
        <x:v>7288.677000000001</x:v>
      </x:c>
      <x:c r="D8" s="73" t="str">
        <x:v>Revenue</x:v>
      </x:c>
      <x:c r="E8" s="73" t="n">
        <x:v>6</x:v>
      </x:c>
      <x:c r="F8" s="73" t="n">
        <x:v>10</x:v>
      </x:c>
      <x:c r="G8" s="55" t="n">
        <x:v>15</x:v>
      </x:c>
      <x:c r="H8" s="83" t="n">
        <x:f>INDEX(D8:F8,1,'Assumptions'!$C$4)</x:f>
        <x:v>6</x:v>
      </x:c>
      <x:c r="I8" s="69" t="n">
        <x:f>C8*H8</x:f>
        <x:v>43732.062000000005</x:v>
      </x:c>
      <x:c r="J8" s="69" t="n">
        <x:f>I8/(1+'Assumptions'!$C$8)^2</x:f>
        <x:v>34862.932079081635</x:v>
      </x:c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71" t="str">
        <x:v>Enterprise value</x:v>
      </x:c>
      <x:c r="C10" s="71"/>
      <x:c r="D10" s="71"/>
      <x:c r="E10" s="71"/>
      <x:c r="F10" s="71"/>
      <x:c r="G10" s="71"/>
      <x:c r="H10" s="71"/>
      <x:c r="I10" s="71"/>
      <x:c r="J10" s="72" t="n">
        <x:f>SUM(J6:J8)</x:f>
        <x:v>287232.46364158165</x:v>
      </x:c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5" t="str">
        <x:v>Enterprise value</x:v>
      </x:c>
      <x:c r="C12" s="69" t="n">
        <x:f>J10</x:f>
        <x:v>287232.46364158165</x:v>
      </x:c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55" t="str">
        <x:v>Pro forma net cash</x:v>
      </x:c>
      <x:c r="C13" s="59" t="n">
        <x:f>'Assumptions'!C17</x:f>
        <x:v>20221.4</x:v>
      </x:c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55" t="str">
        <x:v>Equity value</x:v>
      </x:c>
      <x:c r="C14" s="59" t="n">
        <x:f>SUM(C12:C13)</x:f>
        <x:v>307453.8636415817</x:v>
      </x:c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55" t="str">
        <x:v>Diluted shares (mm)</x:v>
      </x:c>
      <x:c r="C15" s="80" t="n">
        <x:f>'Assumptions'!C13</x:f>
        <x:v>13631.4</x:v>
      </x:c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1"/>
      <x:c r="B16" s="60" t="str">
        <x:v>SOTP value / share</x:v>
      </x:c>
      <x:c r="C16" s="81" t="n">
        <x:f>C14/C15</x:f>
        <x:v>22.55482662394044</x:v>
      </x:c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1"/>
      <x:c r="B17" s="60" t="str">
        <x:v>Upside / (downside)</x:v>
      </x:c>
      <x:c r="C17" s="82" t="n">
        <x:f>C16/'Assumptions'!C11-1</x:f>
        <x:v>-0.8012790605820226</x:v>
      </x:c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1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40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Post-IPO Trading Performance</x:v>
      </x:c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68" t="str">
        <x:v>Milestone</x:v>
      </x:c>
      <x:c r="C4" s="68" t="str">
        <x:v>Date</x:v>
      </x:c>
      <x:c r="D4" s="68" t="str">
        <x:v>Price</x:v>
      </x:c>
      <x:c r="E4" s="68" t="str">
        <x:v>Return vs IPO</x:v>
      </x:c>
      <x:c r="F4" s="68" t="str">
        <x:v>Market Cap ($bn)</x:v>
      </x:c>
      <x:c r="G4" s="68" t="str">
        <x:v>Comment</x:v>
      </x:c>
      <x:c r="H4" s="68" t="str">
        <x:v>Source ID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55" t="str">
        <x:v>IPO pricing</x:v>
      </x:c>
      <x:c r="C5" s="84" t="n">
        <x:v>46184</x:v>
      </x:c>
      <x:c r="D5" s="75" t="n">
        <x:v>135</x:v>
      </x:c>
      <x:c r="E5" s="70" t="n">
        <x:v>0</x:v>
      </x:c>
      <x:c r="F5" s="85" t="n">
        <x:f>D5*'Assumptions'!$C$13/1000</x:f>
        <x:v>1840.239</x:v>
      </x:c>
      <x:c r="G5" s="55" t="str">
        <x:v>Largest IPO; 555.6mm primary shares</x:v>
      </x:c>
      <x:c r="H5" s="55" t="str">
        <x:v>S3</x:v>
      </x:c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55" t="str">
        <x:v>First-day close</x:v>
      </x:c>
      <x:c r="C6" s="84" t="n">
        <x:v>46185</x:v>
      </x:c>
      <x:c r="D6" s="75" t="n">
        <x:v>160.95</x:v>
      </x:c>
      <x:c r="E6" s="70" t="n">
        <x:f>D6/$D$5-1</x:f>
        <x:v>0.19222222222222207</x:v>
      </x:c>
      <x:c r="F6" s="85" t="n">
        <x:f>D6*'Assumptions'!$C$13/1000</x:f>
        <x:v>2193.9738299999995</x:v>
      </x:c>
      <x:c r="G6" s="55" t="str">
        <x:v>+19.2% first-day close</x:v>
      </x:c>
      <x:c r="H6" s="55" t="str">
        <x:v>S4</x:v>
      </x:c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55" t="str">
        <x:v>Post-IPO peak</x:v>
      </x:c>
      <x:c r="C7" s="84" t="n">
        <x:v>46189</x:v>
      </x:c>
      <x:c r="D7" s="75" t="n">
        <x:v>225.64</x:v>
      </x:c>
      <x:c r="E7" s="70" t="n">
        <x:f>D7/$D$5-1</x:f>
        <x:v>0.6714074074074072</x:v>
      </x:c>
      <x:c r="F7" s="85" t="n">
        <x:f>D7*'Assumptions'!$C$13/1000</x:f>
        <x:v>3075.789096</x:v>
      </x:c>
      <x:c r="G7" s="55" t="str">
        <x:v>Low-float squeeze / peak enthusiasm</x:v>
      </x:c>
      <x:c r="H7" s="55" t="str">
        <x:v>S5</x:v>
      </x:c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55" t="str">
        <x:v>Below IPO intraday</x:v>
      </x:c>
      <x:c r="C8" s="84" t="n">
        <x:v>46218</x:v>
      </x:c>
      <x:c r="D8" s="75" t="n">
        <x:v>132.15</x:v>
      </x:c>
      <x:c r="E8" s="70" t="n">
        <x:f>D8/$D$5-1</x:f>
        <x:v>-0.02111111111111108</x:v>
      </x:c>
      <x:c r="F8" s="85" t="n">
        <x:f>D8*'Assumptions'!$C$13/1000</x:f>
        <x:v>1801.38951</x:v>
      </x:c>
      <x:c r="G8" s="55" t="str">
        <x:v>First material break below issue price</x:v>
      </x:c>
      <x:c r="H8" s="55" t="str">
        <x:v>S6</x:v>
      </x:c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55" t="str">
        <x:v>Fresh low reference</x:v>
      </x:c>
      <x:c r="C9" s="84" t="n">
        <x:v>46230</x:v>
      </x:c>
      <x:c r="D9" s="75" t="n">
        <x:v>110.47</x:v>
      </x:c>
      <x:c r="E9" s="70" t="n">
        <x:f>D9/$D$5-1</x:f>
        <x:v>-0.1817037037037037</x:v>
      </x:c>
      <x:c r="F9" s="85" t="n">
        <x:f>D9*'Assumptions'!$C$13/1000</x:f>
        <x:v>1505.8607579999998</x:v>
      </x:c>
      <x:c r="G9" s="55" t="str">
        <x:v>Reported intraday level</x:v>
      </x:c>
      <x:c r="H9" s="55" t="str">
        <x:v>S7</x:v>
      </x:c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55" t="str">
        <x:v>Latest close</x:v>
      </x:c>
      <x:c r="C10" s="84" t="n">
        <x:v>46230</x:v>
      </x:c>
      <x:c r="D10" s="75" t="n">
        <x:v>113.5</x:v>
      </x:c>
      <x:c r="E10" s="70" t="n">
        <x:f>D10/$D$5-1</x:f>
        <x:v>-0.1592592592592592</x:v>
      </x:c>
      <x:c r="F10" s="85" t="n">
        <x:f>D10*'Assumptions'!$C$13/1000</x:f>
        <x:v>1547.1639</x:v>
      </x:c>
      <x:c r="G10" s="55" t="str">
        <x:v>Latest market quote used in model</x:v>
      </x:c>
      <x:c r="H10" s="55" t="str">
        <x:v>S8</x:v>
      </x:c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7" t="str">
        <x:v>Performance Snapshot</x:v>
      </x:c>
      <x:c r="C12" s="57" t="str">
        <x:v>Performance Snapshot</x:v>
      </x:c>
      <x:c r="D12" s="57" t="str">
        <x:v>Performance Snapshot</x:v>
      </x:c>
      <x:c r="E12" s="57" t="str">
        <x:v>Performance Snapshot</x:v>
      </x:c>
      <x:c r="F12" s="57" t="str">
        <x:v>Performance Snapshot</x:v>
      </x:c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86" t="str">
        <x:v>Latest vs IPO</x:v>
      </x:c>
      <x:c r="C13" s="87" t="n">
        <x:f>D10/D5-1</x:f>
        <x:v>-0.1592592592592592</x:v>
      </x:c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86" t="str">
        <x:v>Latest vs first-day close</x:v>
      </x:c>
      <x:c r="C14" s="87" t="n">
        <x:f>D10/D6-1</x:f>
        <x:v>-0.2948120534327431</x:v>
      </x:c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86" t="str">
        <x:v>Latest vs peak</x:v>
      </x:c>
      <x:c r="C15" s="87" t="n">
        <x:f>D10/D7-1</x:f>
        <x:v>-0.4969863499379542</x:v>
      </x:c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1"/>
      <x:c r="B16" s="86" t="str">
        <x:v>Peak vs IPO</x:v>
      </x:c>
      <x:c r="C16" s="87" t="n">
        <x:f>D7/D5-1</x:f>
        <x:v>0.6714074074074072</x:v>
      </x:c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1"/>
      <x:c r="B17" s="86" t="str">
        <x:v>Current implied market cap ($bn)</x:v>
      </x:c>
      <x:c r="C17" s="88" t="n">
        <x:f>F10</x:f>
        <x:v>1547.1639</x:v>
      </x:c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1"/>
      <x:c r="B18" s="86" t="str">
        <x:v>SOTP premium / (discount) to market</x:v>
      </x:c>
      <x:c r="C18" s="87" t="n">
        <x:f>'SOTP'!C16/D10-1</x:f>
        <x:v>-0.8012790605820226</x:v>
      </x:c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H2"/>
    <x:mergeCell ref="B12:F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Valuation Sensitivities</x:v>
      </x:c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57" t="str">
        <x:v>DCF Value / Share — WACC vs Terminal Growth</x:v>
      </x:c>
      <x:c r="C4" s="57" t="str">
        <x:v>DCF Value / Share — WACC vs Terminal Growth</x:v>
      </x:c>
      <x:c r="D4" s="57" t="str">
        <x:v>DCF Value / Share — WACC vs Terminal Growth</x:v>
      </x:c>
      <x:c r="E4" s="57" t="str">
        <x:v>DCF Value / Share — WACC vs Terminal Growth</x:v>
      </x:c>
      <x:c r="F4" s="57" t="str">
        <x:v>DCF Value / Share — WACC vs Terminal Growth</x:v>
      </x:c>
      <x:c r="G4" s="57" t="str">
        <x:v>DCF Value / Share — WACC vs Terminal Growth</x:v>
      </x:c>
      <x:c r="H4" s="57" t="str">
        <x:v>DCF Value / Share — WACC vs Terminal Growth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68" t="str">
        <x:v>WACC / TGR</x:v>
      </x:c>
      <x:c r="C5" s="89" t="n">
        <x:v>0.02</x:v>
      </x:c>
      <x:c r="D5" s="89" t="n">
        <x:v>0.03</x:v>
      </x:c>
      <x:c r="E5" s="89" t="n">
        <x:v>0.04</x:v>
      </x:c>
      <x:c r="F5" s="89" t="n">
        <x:v>0.05</x:v>
      </x:c>
      <x:c r="G5" s="89" t="n">
        <x:v>0.06</x:v>
      </x:c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70" t="n">
        <x:v>0.1</x:v>
      </x:c>
      <x:c r="C6" s="75" t="n">
        <x:f>('DCF'!$C$22+('DCF'!$C$23*(1+C$5)/($B6-C$5))*'DCF'!$L$17+'Assumptions'!$C$17)/'Assumptions'!$C$13</x:f>
        <x:v>14.326710205411775</x:v>
      </x:c>
      <x:c r="D6" s="75" t="n">
        <x:f>('DCF'!$C$22+('DCF'!$C$23*(1+D$5)/($B6-D$5))*'DCF'!$L$17+'Assumptions'!$C$17)/'Assumptions'!$C$13</x:f>
        <x:v>16.025862221128968</x:v>
      </x:c>
      <x:c r="E6" s="75" t="n">
        <x:f>('DCF'!$C$22+('DCF'!$C$23*(1+E$5)/($B6-E$5))*'DCF'!$L$17+'Assumptions'!$C$17)/'Assumptions'!$C$13</x:f>
        <x:v>18.29139824208523</x:v>
      </x:c>
      <x:c r="F6" s="75" t="n">
        <x:f>('DCF'!$C$22+('DCF'!$C$23*(1+F$5)/($B6-F$5))*'DCF'!$L$17+'Assumptions'!$C$17)/'Assumptions'!$C$13</x:f>
        <x:v>21.463148671424</x:v>
      </x:c>
      <x:c r="G6" s="75" t="n">
        <x:f>('DCF'!$C$22+('DCF'!$C$23*(1+G$5)/($B6-G$5))*'DCF'!$L$17+'Assumptions'!$C$17)/'Assumptions'!$C$13</x:f>
        <x:v>26.220774315432152</x:v>
      </x:c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70" t="n">
        <x:v>0.11</x:v>
      </x:c>
      <x:c r="C7" s="75" t="n">
        <x:f>('DCF'!$C$22+('DCF'!$C$23*(1+C$5)/($B7-C$5))*'DCF'!$L$17+'Assumptions'!$C$17)/'Assumptions'!$C$13</x:f>
        <x:v>13.101261175894525</x:v>
      </x:c>
      <x:c r="D7" s="75" t="n">
        <x:f>('DCF'!$C$22+('DCF'!$C$23*(1+D$5)/($B7-D$5))*'DCF'!$L$17+'Assumptions'!$C$17)/'Assumptions'!$C$13</x:f>
        <x:v>14.43483806095741</x:v>
      </x:c>
      <x:c r="E7" s="75" t="n">
        <x:f>('DCF'!$C$22+('DCF'!$C$23*(1+E$5)/($B7-E$5))*'DCF'!$L$17+'Assumptions'!$C$17)/'Assumptions'!$C$13</x:f>
        <x:v>16.14943691318113</x:v>
      </x:c>
      <x:c r="F7" s="75" t="n">
        <x:f>('DCF'!$C$22+('DCF'!$C$23*(1+F$5)/($B7-F$5))*'DCF'!$L$17+'Assumptions'!$C$17)/'Assumptions'!$C$13</x:f>
        <x:v>18.43556871614609</x:v>
      </x:c>
      <x:c r="G7" s="75" t="n">
        <x:f>('DCF'!$C$22+('DCF'!$C$23*(1+G$5)/($B7-G$5))*'DCF'!$L$17+'Assumptions'!$C$17)/'Assumptions'!$C$13</x:f>
        <x:v>21.63615324029703</x:v>
      </x:c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70" t="n">
        <x:v>0.12</x:v>
      </x:c>
      <x:c r="C8" s="75" t="n">
        <x:f>('DCF'!$C$22+('DCF'!$C$23*(1+C$5)/($B8-C$5))*'DCF'!$L$17+'Assumptions'!$C$17)/'Assumptions'!$C$13</x:f>
        <x:v>12.120901952280724</x:v>
      </x:c>
      <x:c r="D8" s="75" t="n">
        <x:f>('DCF'!$C$22+('DCF'!$C$23*(1+D$5)/($B8-D$5))*'DCF'!$L$17+'Assumptions'!$C$17)/'Assumptions'!$C$13</x:f>
        <x:v>13.197374825268422</x:v>
      </x:c>
      <x:c r="E8" s="75" t="n">
        <x:f>('DCF'!$C$22+('DCF'!$C$23*(1+E$5)/($B8-E$5))*'DCF'!$L$17+'Assumptions'!$C$17)/'Assumptions'!$C$13</x:f>
        <x:v>14.542965916503055</x:v>
      </x:c>
      <x:c r="F8" s="75" t="n">
        <x:f>('DCF'!$C$22+('DCF'!$C$23*(1+F$5)/($B8-F$5))*'DCF'!$L$17+'Assumptions'!$C$17)/'Assumptions'!$C$13</x:f>
        <x:v>16.273011605233293</x:v>
      </x:c>
      <x:c r="G8" s="75" t="n">
        <x:f>('DCF'!$C$22+('DCF'!$C$23*(1+G$5)/($B8-G$5))*'DCF'!$L$17+'Assumptions'!$C$17)/'Assumptions'!$C$13</x:f>
        <x:v>18.579739190206944</x:v>
      </x:c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70" t="n">
        <x:v>0.13</x:v>
      </x:c>
      <x:c r="C9" s="75" t="n">
        <x:f>('DCF'!$C$22+('DCF'!$C$23*(1+C$5)/($B9-C$5))*'DCF'!$L$17+'Assumptions'!$C$17)/'Assumptions'!$C$13</x:f>
        <x:v>11.318789860233064</x:v>
      </x:c>
      <x:c r="D9" s="75" t="n">
        <x:f>('DCF'!$C$22+('DCF'!$C$23*(1+D$5)/($B9-D$5))*'DCF'!$L$17+'Assumptions'!$C$17)/'Assumptions'!$C$13</x:f>
        <x:v>12.207404236717233</x:v>
      </x:c>
      <x:c r="E9" s="75" t="n">
        <x:f>('DCF'!$C$22+('DCF'!$C$23*(1+E$5)/($B9-E$5))*'DCF'!$L$17+'Assumptions'!$C$17)/'Assumptions'!$C$13</x:f>
        <x:v>13.293488474642325</x:v>
      </x:c>
      <x:c r="F9" s="75" t="n">
        <x:f>('DCF'!$C$22+('DCF'!$C$23*(1+F$5)/($B9-F$5))*'DCF'!$L$17+'Assumptions'!$C$17)/'Assumptions'!$C$13</x:f>
        <x:v>14.651093772048693</x:v>
      </x:c>
      <x:c r="G9" s="75" t="n">
        <x:f>('DCF'!$C$22+('DCF'!$C$23*(1+G$5)/($B9-G$5))*'DCF'!$L$17+'Assumptions'!$C$17)/'Assumptions'!$C$13</x:f>
        <x:v>16.39658629728545</x:v>
      </x:c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70" t="n">
        <x:v>0.14</x:v>
      </x:c>
      <x:c r="C10" s="75" t="n">
        <x:f>('DCF'!$C$22+('DCF'!$C$23*(1+C$5)/($B10-C$5))*'DCF'!$L$17+'Assumptions'!$C$17)/'Assumptions'!$C$13</x:f>
        <x:v>10.650363116860019</x:v>
      </x:c>
      <x:c r="D10" s="75" t="n">
        <x:f>('DCF'!$C$22+('DCF'!$C$23*(1+D$5)/($B10-D$5))*'DCF'!$L$17+'Assumptions'!$C$17)/'Assumptions'!$C$13</x:f>
        <x:v>11.397428300629894</x:v>
      </x:c>
      <x:c r="E10" s="75" t="n">
        <x:f>('DCF'!$C$22+('DCF'!$C$23*(1+E$5)/($B10-E$5))*'DCF'!$L$17+'Assumptions'!$C$17)/'Assumptions'!$C$13</x:f>
        <x:v>12.293906521153746</x:v>
      </x:c>
      <x:c r="F10" s="75" t="n">
        <x:f>('DCF'!$C$22+('DCF'!$C$23*(1+F$5)/($B10-F$5))*'DCF'!$L$17+'Assumptions'!$C$17)/'Assumptions'!$C$13</x:f>
        <x:v>13.389602124016227</x:v>
      </x:c>
      <x:c r="G10" s="75" t="n">
        <x:f>('DCF'!$C$22+('DCF'!$C$23*(1+G$5)/($B10-G$5))*'DCF'!$L$17+'Assumptions'!$C$17)/'Assumptions'!$C$13</x:f>
        <x:v>14.75922162759433</x:v>
      </x:c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57" t="str">
        <x:v>SOTP Value / Share — Connectivity &amp; AI Multiple</x:v>
      </x:c>
      <x:c r="C13" s="57" t="str">
        <x:v>SOTP Value / Share — Connectivity &amp; AI Multiple</x:v>
      </x:c>
      <x:c r="D13" s="57" t="str">
        <x:v>SOTP Value / Share — Connectivity &amp; AI Multiple</x:v>
      </x:c>
      <x:c r="E13" s="57" t="str">
        <x:v>SOTP Value / Share — Connectivity &amp; AI Multiple</x:v>
      </x:c>
      <x:c r="F13" s="57" t="str">
        <x:v>SOTP Value / Share — Connectivity &amp; AI Multiple</x:v>
      </x:c>
      <x:c r="G13" s="57" t="str">
        <x:v>SOTP Value / Share — Connectivity &amp; AI Multiple</x:v>
      </x:c>
      <x:c r="H13" s="57" t="str">
        <x:v>SOTP Value / Share — Connectivity &amp; AI Multiple</x:v>
      </x:c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68" t="str">
        <x:v>Conn. / AI</x:v>
      </x:c>
      <x:c r="C14" s="90" t="n">
        <x:v>6</x:v>
      </x:c>
      <x:c r="D14" s="90" t="n">
        <x:v>8</x:v>
      </x:c>
      <x:c r="E14" s="90" t="n">
        <x:v>10</x:v>
      </x:c>
      <x:c r="F14" s="90" t="n">
        <x:v>12</x:v>
      </x:c>
      <x:c r="G14" s="90" t="n">
        <x:v>14</x:v>
      </x:c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83" t="n">
        <x:v>18</x:v>
      </x:c>
      <x:c r="C15" s="75" t="n">
        <x:f>(('SOTP'!$C$6*'SOTP'!$H$6+'SOTP'!$C$7*$B15+'SOTP'!$C$8*C$14)/(1+'Assumptions'!$C$8)^2+'Assumptions'!$C$17)/'Assumptions'!$C$13</x:f>
        <x:v>22.55482662394044</x:v>
      </x:c>
      <x:c r="D15" s="75" t="n">
        <x:f>(('SOTP'!$C$6*'SOTP'!$H$6+'SOTP'!$C$7*$B15+'SOTP'!$C$8*D$14)/(1+'Assumptions'!$C$8)^2+'Assumptions'!$C$17)/'Assumptions'!$C$13</x:f>
        <x:v>23.407341945895176</x:v>
      </x:c>
      <x:c r="E15" s="75" t="n">
        <x:f>(('SOTP'!$C$6*'SOTP'!$H$6+'SOTP'!$C$7*$B15+'SOTP'!$C$8*E$14)/(1+'Assumptions'!$C$8)^2+'Assumptions'!$C$17)/'Assumptions'!$C$13</x:f>
        <x:v>24.259857267849924</x:v>
      </x:c>
      <x:c r="F15" s="75" t="n">
        <x:f>(('SOTP'!$C$6*'SOTP'!$H$6+'SOTP'!$C$7*$B15+'SOTP'!$C$8*F$14)/(1+'Assumptions'!$C$8)^2+'Assumptions'!$C$17)/'Assumptions'!$C$13</x:f>
        <x:v>25.112372589804664</x:v>
      </x:c>
      <x:c r="G15" s="75" t="n">
        <x:f>(('SOTP'!$C$6*'SOTP'!$H$6+'SOTP'!$C$7*$B15+'SOTP'!$C$8*G$14)/(1+'Assumptions'!$C$8)^2+'Assumptions'!$C$17)/'Assumptions'!$C$13</x:f>
        <x:v>25.96488791175941</x:v>
      </x:c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1"/>
      <x:c r="B16" s="83" t="n">
        <x:v>21</x:v>
      </x:c>
      <x:c r="C16" s="75" t="n">
        <x:f>(('SOTP'!$C$6*'SOTP'!$H$6+'SOTP'!$C$7*$B16+'SOTP'!$C$8*C$14)/(1+'Assumptions'!$C$8)^2+'Assumptions'!$C$17)/'Assumptions'!$C$13</x:f>
        <x:v>25.362556048611726</x:v>
      </x:c>
      <x:c r="D16" s="75" t="n">
        <x:f>(('SOTP'!$C$6*'SOTP'!$H$6+'SOTP'!$C$7*$B16+'SOTP'!$C$8*D$14)/(1+'Assumptions'!$C$8)^2+'Assumptions'!$C$17)/'Assumptions'!$C$13</x:f>
        <x:v>26.21507137056647</x:v>
      </x:c>
      <x:c r="E16" s="75" t="n">
        <x:f>(('SOTP'!$C$6*'SOTP'!$H$6+'SOTP'!$C$7*$B16+'SOTP'!$C$8*E$14)/(1+'Assumptions'!$C$8)^2+'Assumptions'!$C$17)/'Assumptions'!$C$13</x:f>
        <x:v>27.067586692521218</x:v>
      </x:c>
      <x:c r="F16" s="75" t="n">
        <x:f>(('SOTP'!$C$6*'SOTP'!$H$6+'SOTP'!$C$7*$B16+'SOTP'!$C$8*F$14)/(1+'Assumptions'!$C$8)^2+'Assumptions'!$C$17)/'Assumptions'!$C$13</x:f>
        <x:v>27.920102014475955</x:v>
      </x:c>
      <x:c r="G16" s="75" t="n">
        <x:f>(('SOTP'!$C$6*'SOTP'!$H$6+'SOTP'!$C$7*$B16+'SOTP'!$C$8*G$14)/(1+'Assumptions'!$C$8)^2+'Assumptions'!$C$17)/'Assumptions'!$C$13</x:f>
        <x:v>28.772617336430702</x:v>
      </x:c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1"/>
      <x:c r="B17" s="83" t="n">
        <x:v>24</x:v>
      </x:c>
      <x:c r="C17" s="75" t="n">
        <x:f>(('SOTP'!$C$6*'SOTP'!$H$6+'SOTP'!$C$7*$B17+'SOTP'!$C$8*C$14)/(1+'Assumptions'!$C$8)^2+'Assumptions'!$C$17)/'Assumptions'!$C$13</x:f>
        <x:v>28.170285473283023</x:v>
      </x:c>
      <x:c r="D17" s="75" t="n">
        <x:f>(('SOTP'!$C$6*'SOTP'!$H$6+'SOTP'!$C$7*$B17+'SOTP'!$C$8*D$14)/(1+'Assumptions'!$C$8)^2+'Assumptions'!$C$17)/'Assumptions'!$C$13</x:f>
        <x:v>29.02280079523777</x:v>
      </x:c>
      <x:c r="E17" s="75" t="n">
        <x:f>(('SOTP'!$C$6*'SOTP'!$H$6+'SOTP'!$C$7*$B17+'SOTP'!$C$8*E$14)/(1+'Assumptions'!$C$8)^2+'Assumptions'!$C$17)/'Assumptions'!$C$13</x:f>
        <x:v>29.875316117192508</x:v>
      </x:c>
      <x:c r="F17" s="75" t="n">
        <x:f>(('SOTP'!$C$6*'SOTP'!$H$6+'SOTP'!$C$7*$B17+'SOTP'!$C$8*F$14)/(1+'Assumptions'!$C$8)^2+'Assumptions'!$C$17)/'Assumptions'!$C$13</x:f>
        <x:v>30.727831439147256</x:v>
      </x:c>
      <x:c r="G17" s="75" t="n">
        <x:f>(('SOTP'!$C$6*'SOTP'!$H$6+'SOTP'!$C$7*$B17+'SOTP'!$C$8*G$14)/(1+'Assumptions'!$C$8)^2+'Assumptions'!$C$17)/'Assumptions'!$C$13</x:f>
        <x:v>31.580346761101996</x:v>
      </x:c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1"/>
      <x:c r="B18" s="83" t="n">
        <x:v>27</x:v>
      </x:c>
      <x:c r="C18" s="75" t="n">
        <x:f>(('SOTP'!$C$6*'SOTP'!$H$6+'SOTP'!$C$7*$B18+'SOTP'!$C$8*C$14)/(1+'Assumptions'!$C$8)^2+'Assumptions'!$C$17)/'Assumptions'!$C$13</x:f>
        <x:v>30.978014897954324</x:v>
      </x:c>
      <x:c r="D18" s="75" t="n">
        <x:f>(('SOTP'!$C$6*'SOTP'!$H$6+'SOTP'!$C$7*$B18+'SOTP'!$C$8*D$14)/(1+'Assumptions'!$C$8)^2+'Assumptions'!$C$17)/'Assumptions'!$C$13</x:f>
        <x:v>31.83053021990906</x:v>
      </x:c>
      <x:c r="E18" s="75" t="n">
        <x:f>(('SOTP'!$C$6*'SOTP'!$H$6+'SOTP'!$C$7*$B18+'SOTP'!$C$8*E$14)/(1+'Assumptions'!$C$8)^2+'Assumptions'!$C$17)/'Assumptions'!$C$13</x:f>
        <x:v>32.683045541863805</x:v>
      </x:c>
      <x:c r="F18" s="75" t="n">
        <x:f>(('SOTP'!$C$6*'SOTP'!$H$6+'SOTP'!$C$7*$B18+'SOTP'!$C$8*F$14)/(1+'Assumptions'!$C$8)^2+'Assumptions'!$C$17)/'Assumptions'!$C$13</x:f>
        <x:v>33.53556086381855</x:v>
      </x:c>
      <x:c r="G18" s="75" t="n">
        <x:f>(('SOTP'!$C$6*'SOTP'!$H$6+'SOTP'!$C$7*$B18+'SOTP'!$C$8*G$14)/(1+'Assumptions'!$C$8)^2+'Assumptions'!$C$17)/'Assumptions'!$C$13</x:f>
        <x:v>34.388076185773286</x:v>
      </x:c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83" t="n">
        <x:v>30</x:v>
      </x:c>
      <x:c r="C19" s="75" t="n">
        <x:f>(('SOTP'!$C$6*'SOTP'!$H$6+'SOTP'!$C$7*$B19+'SOTP'!$C$8*C$14)/(1+'Assumptions'!$C$8)^2+'Assumptions'!$C$17)/'Assumptions'!$C$13</x:f>
        <x:v>33.78574432262562</x:v>
      </x:c>
      <x:c r="D19" s="75" t="n">
        <x:f>(('SOTP'!$C$6*'SOTP'!$H$6+'SOTP'!$C$7*$B19+'SOTP'!$C$8*D$14)/(1+'Assumptions'!$C$8)^2+'Assumptions'!$C$17)/'Assumptions'!$C$13</x:f>
        <x:v>34.63825964458036</x:v>
      </x:c>
      <x:c r="E19" s="75" t="n">
        <x:f>(('SOTP'!$C$6*'SOTP'!$H$6+'SOTP'!$C$7*$B19+'SOTP'!$C$8*E$14)/(1+'Assumptions'!$C$8)^2+'Assumptions'!$C$17)/'Assumptions'!$C$13</x:f>
        <x:v>35.4907749665351</x:v>
      </x:c>
      <x:c r="F19" s="75" t="n">
        <x:f>(('SOTP'!$C$6*'SOTP'!$H$6+'SOTP'!$C$7*$B19+'SOTP'!$C$8*F$14)/(1+'Assumptions'!$C$8)^2+'Assumptions'!$C$17)/'Assumptions'!$C$13</x:f>
        <x:v>36.34329028848984</x:v>
      </x:c>
      <x:c r="G19" s="75" t="n">
        <x:f>(('SOTP'!$C$6*'SOTP'!$H$6+'SOTP'!$C$7*$B19+'SOTP'!$C$8*G$14)/(1+'Assumptions'!$C$8)^2+'Assumptions'!$C$17)/'Assumptions'!$C$13</x:f>
        <x:v>37.19580561044459</x:v>
      </x:c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N2"/>
    <x:mergeCell ref="B4:H4"/>
    <x:mergeCell ref="B13:H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Model Checks</x:v>
      </x:c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68" t="str">
        <x:v>Check</x:v>
      </x:c>
      <x:c r="C4" s="68" t="str">
        <x:v>Actual</x:v>
      </x:c>
      <x:c r="D4" s="68" t="str">
        <x:v>Expected</x:v>
      </x:c>
      <x:c r="E4" s="68" t="str">
        <x:v>Difference</x:v>
      </x:c>
      <x:c r="F4" s="68" t="str">
        <x:v>Tolerance</x:v>
      </x:c>
      <x:c r="G4" s="68" t="str">
        <x:v>Status</x:v>
      </x:c>
      <x:c r="H4" s="68" t="str">
        <x:v>Notes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1"/>
      <x:c r="B5" s="55" t="str">
        <x:v>Historical segment revenue ties</x:v>
      </x:c>
      <x:c r="C5" s="69" t="n">
        <x:f>'Historical'!E22</x:f>
        <x:v>18674</x:v>
      </x:c>
      <x:c r="D5" s="69" t="n">
        <x:f>'Historical'!E7</x:f>
        <x:v>18674</x:v>
      </x:c>
      <x:c r="E5" s="69" t="n">
        <x:f>C5-D5</x:f>
        <x:v>0</x:v>
      </x:c>
      <x:c r="F5" s="69" t="n">
        <x:v>0.1</x:v>
      </x:c>
      <x:c r="G5" s="91" t="str">
        <x:f>IF(ABS(E5)&lt;=F5,"OK","ERROR")</x:f>
        <x:v>OK</x:v>
      </x:c>
      <x:c r="H5" s="55" t="str">
        <x:v>2025 segment sum vs consolidated</x:v>
      </x:c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1"/>
      <x:c r="B6" s="55" t="str">
        <x:v>Historical EBITDA ties</x:v>
      </x:c>
      <x:c r="C6" s="69" t="n">
        <x:f>'Historical'!E30</x:f>
        <x:v>6584</x:v>
      </x:c>
      <x:c r="D6" s="69" t="n">
        <x:f>'Historical'!E9</x:f>
        <x:v>6584</x:v>
      </x:c>
      <x:c r="E6" s="69" t="n">
        <x:f>C6-D6</x:f>
        <x:v>0</x:v>
      </x:c>
      <x:c r="F6" s="69" t="n">
        <x:v>0.1</x:v>
      </x:c>
      <x:c r="G6" s="91" t="str">
        <x:f>IF(ABS(E6)&lt;=F6,"OK","ERROR")</x:f>
        <x:v>OK</x:v>
      </x:c>
      <x:c r="H6" s="55" t="str">
        <x:v>2025 segment EBITDA + reconciliation</x:v>
      </x:c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1"/>
      <x:c r="B7" s="55" t="str">
        <x:v>Forecast revenue sum</x:v>
      </x:c>
      <x:c r="C7" s="69" t="n">
        <x:f>'Segment Model'!F13</x:f>
        <x:v>23608.41</x:v>
      </x:c>
      <x:c r="D7" s="69" t="n">
        <x:f>SUM('Segment Model'!F7,'Segment Model'!F9,'Segment Model'!F11)</x:f>
        <x:v>23608.41</x:v>
      </x:c>
      <x:c r="E7" s="69" t="n">
        <x:f>C7-D7</x:f>
        <x:v>0</x:v>
      </x:c>
      <x:c r="F7" s="69" t="n">
        <x:v>0.1</x:v>
      </x:c>
      <x:c r="G7" s="91" t="str">
        <x:f>IF(ABS(E7)&lt;=F7,"OK","ERROR")</x:f>
        <x:v>OK</x:v>
      </x:c>
      <x:c r="H7" s="55" t="str">
        <x:v>2026E segment sum</x:v>
      </x:c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1"/>
      <x:c r="B8" s="55" t="str">
        <x:v>DCF EV positive</x:v>
      </x:c>
      <x:c r="C8" s="69" t="n">
        <x:f>'DCF'!C28</x:f>
        <x:v>168308.96126424905</x:v>
      </x:c>
      <x:c r="D8" s="69" t="str">
        <x:v>&gt; 0</x:v>
      </x:c>
      <x:c r="E8" s="69"/>
      <x:c r="F8" s="69"/>
      <x:c r="G8" s="91" t="str">
        <x:f>IF(C8&gt;0,"OK","ERROR")</x:f>
        <x:v>OK</x:v>
      </x:c>
      <x:c r="H8" s="55" t="str">
        <x:v>Sanity check</x:v>
      </x:c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1"/>
      <x:c r="B9" s="55" t="str">
        <x:v>SOTP value/share positive</x:v>
      </x:c>
      <x:c r="C9" s="69" t="n">
        <x:f>'SOTP'!C16</x:f>
        <x:v>22.55482662394044</x:v>
      </x:c>
      <x:c r="D9" s="69" t="str">
        <x:v>&gt; 0</x:v>
      </x:c>
      <x:c r="E9" s="69"/>
      <x:c r="F9" s="69"/>
      <x:c r="G9" s="91" t="str">
        <x:f>IF(C9&gt;0,"OK","ERROR")</x:f>
        <x:v>OK</x:v>
      </x:c>
      <x:c r="H9" s="55" t="str">
        <x:v>Sanity check</x:v>
      </x:c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1"/>
      <x:c r="B10" s="55" t="str">
        <x:v>WACC &gt; terminal growth</x:v>
      </x:c>
      <x:c r="C10" s="69" t="n">
        <x:f>'Assumptions'!C8</x:f>
        <x:v>0.12</x:v>
      </x:c>
      <x:c r="D10" s="69" t="n">
        <x:f>'Assumptions'!C9</x:f>
        <x:v>0.035</x:v>
      </x:c>
      <x:c r="E10" s="69" t="n">
        <x:f>C10-D10</x:f>
        <x:v>0.08499999999999999</x:v>
      </x:c>
      <x:c r="F10" s="69" t="n">
        <x:v>0</x:v>
      </x:c>
      <x:c r="G10" s="91" t="str">
        <x:f>IF(C10&gt;D10,"OK","ERROR")</x:f>
        <x:v>OK</x:v>
      </x:c>
      <x:c r="H10" s="55" t="str">
        <x:v>Required for Gordon growth</x:v>
      </x:c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1"/>
      <x:c r="B11" s="92" t="str">
        <x:v>Model status</x:v>
      </x:c>
      <x:c r="C11" s="92"/>
      <x:c r="D11" s="92"/>
      <x:c r="E11" s="92"/>
      <x:c r="F11" s="92"/>
      <x:c r="G11" s="92" t="str">
        <x:f>IF(COUNTIF(G5:G10,"ERROR")=0,"OK","ERROR")</x:f>
        <x:v>OK</x:v>
      </x:c>
      <x:c r="H11" s="92" t="str">
        <x:v>All checks must pass</x:v>
      </x:c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1"/>
      <x:c r="B12" s="55" t="str">
        <x:v>Scenario label matches index</x:v>
      </x:c>
      <x:c r="C12" s="93" t="str">
        <x:f>IF('Assumptions'!C4=MATCH('Assumptions'!C3,'Assumptions'!D7:F7,0),"OK","CHECK")</x:f>
        <x:v>OK</x:v>
      </x:c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1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1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1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1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1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1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6" hidden="0" customWidth="1"/>
    <x:col min="4" max="4" width="24" hidden="0" customWidth="1"/>
    <x:col min="5" max="5" width="24" hidden="0" customWidth="1"/>
    <x:col min="6" max="6" width="58" hidden="0" customWidth="1"/>
    <x:col min="7" max="7" width="58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"/>
      <x:c r="B1" s="54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26" customHeight="1">
      <x:c r="A2" s="1"/>
      <x:c r="B2" s="56" t="str">
        <x:v>SpaceX | Sources &amp; Audit Trail</x:v>
      </x:c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1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1"/>
      <x:c r="B4" s="68" t="str">
        <x:v>ID</x:v>
      </x:c>
      <x:c r="C4" s="68" t="str">
        <x:v>Item</x:v>
      </x:c>
      <x:c r="D4" s="68" t="str">
        <x:v>Period / Date</x:v>
      </x:c>
      <x:c r="E4" s="68" t="str">
        <x:v>Value / Use</x:v>
      </x:c>
      <x:c r="F4" s="68" t="str">
        <x:v>Source</x:v>
      </x:c>
      <x:c r="G4" s="68" t="str">
        <x:v>URL</x:v>
      </x:c>
      <x:c r="H4" s="68" t="str">
        <x:v>Notes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 ht="44" customHeight="1">
      <x:c r="A5" s="1"/>
      <x:c r="B5" s="65" t="str">
        <x:v>S1</x:v>
      </x:c>
      <x:c r="C5" s="65" t="str">
        <x:v>Prospectus key financials</x:v>
      </x:c>
      <x:c r="D5" s="65" t="str">
        <x:v>2023–Q1 2026</x:v>
      </x:c>
      <x:c r="E5" s="65" t="str">
        <x:v>Consolidated financials, EBITDA, cash flow</x:v>
      </x:c>
      <x:c r="F5" s="65" t="str">
        <x:v>SpaceX EU Prospectus</x:v>
      </x:c>
      <x:c r="G5" s="65" t="str">
        <x:v>https://content.spacex.com/cms-assets/FINAL_Documents%20and%20Updates/SpaceX%20-%20EU%20Prospectus%20%28Approved%20by%20Bafin%29%20-%20June%205%2C%202026.pdf</x:v>
      </x:c>
      <x:c r="H5" s="65" t="str">
        <x:v>Audited FY; Q1 unaudited</x:v>
      </x:c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 ht="44" customHeight="1">
      <x:c r="A6" s="1"/>
      <x:c r="B6" s="65" t="str">
        <x:v>S2</x:v>
      </x:c>
      <x:c r="C6" s="65" t="str">
        <x:v>Segment disclosure</x:v>
      </x:c>
      <x:c r="D6" s="65" t="str">
        <x:v>2023–Q1 2026</x:v>
      </x:c>
      <x:c r="E6" s="65" t="str">
        <x:v>Space / Connectivity / AI revenue and EBITDA</x:v>
      </x:c>
      <x:c r="F6" s="65" t="str">
        <x:v>SpaceX EU Prospectus</x:v>
      </x:c>
      <x:c r="G6" s="65" t="str">
        <x:v>https://content.spacex.com/cms-assets/FINAL_Documents%20and%20Updates/SpaceX%20-%20EU%20Prospectus%20%28Approved%20by%20Bafin%29%20-%20June%205%2C%202026.pdf</x:v>
      </x:c>
      <x:c r="H6" s="65" t="str">
        <x:v>Historical xAI figures retroactively reflected</x:v>
      </x:c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 ht="44" customHeight="1">
      <x:c r="A7" s="1"/>
      <x:c r="B7" s="65" t="str">
        <x:v>S3</x:v>
      </x:c>
      <x:c r="C7" s="65" t="str">
        <x:v>IPO pricing</x:v>
      </x:c>
      <x:c r="D7" s="65" t="str">
        <x:v>2026-06-11</x:v>
      </x:c>
      <x:c r="E7" s="65" t="str">
        <x:v>$135; 555,555,555 shares</x:v>
      </x:c>
      <x:c r="F7" s="65" t="str">
        <x:v>SpaceX IR</x:v>
      </x:c>
      <x:c r="G7" s="65" t="str">
        <x:v>https://ir.spacex.com/updates/releases-details/2026/Space-Exploration-Technologies-Corp--Announces-Pricing-of-Initial-Public-Offering/default.aspx</x:v>
      </x:c>
      <x:c r="H7" s="65" t="str">
        <x:v>Primary company source</x:v>
      </x:c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 ht="44" customHeight="1">
      <x:c r="A8" s="1"/>
      <x:c r="B8" s="65" t="str">
        <x:v>S4</x:v>
      </x:c>
      <x:c r="C8" s="65" t="str">
        <x:v>First-day close</x:v>
      </x:c>
      <x:c r="D8" s="65" t="str">
        <x:v>2026-06-12</x:v>
      </x:c>
      <x:c r="E8" s="65" t="str">
        <x:v>$160.95</x:v>
      </x:c>
      <x:c r="F8" s="65" t="str">
        <x:v>TechCrunch</x:v>
      </x:c>
      <x:c r="G8" s="65" t="str">
        <x:v>https://techcrunch.com/2026/06/12/spacex-ipo-closes-up-19-and-delivers-the-worlds-first-trillionaire/</x:v>
      </x:c>
      <x:c r="H8" s="65" t="str">
        <x:v>Secondary market source</x:v>
      </x:c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 ht="44" customHeight="1">
      <x:c r="A9" s="1"/>
      <x:c r="B9" s="65" t="str">
        <x:v>S5</x:v>
      </x:c>
      <x:c r="C9" s="65" t="str">
        <x:v>Post-IPO peak</x:v>
      </x:c>
      <x:c r="D9" s="65" t="str">
        <x:v>2026-06-16</x:v>
      </x:c>
      <x:c r="E9" s="65" t="str">
        <x:v>$225.64</x:v>
      </x:c>
      <x:c r="F9" s="65" t="str">
        <x:v>Public market reporting</x:v>
      </x:c>
      <x:c r="G9" s="65" t="str">
        <x:v>https://www.fool.com/investing/2026/07/20/spacex-stock-is-down-45-from-its-high-history-says/</x:v>
      </x:c>
      <x:c r="H9" s="65" t="str">
        <x:v>Milestone, not daily series</x:v>
      </x:c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 ht="44" customHeight="1">
      <x:c r="A10" s="1"/>
      <x:c r="B10" s="65" t="str">
        <x:v>S6</x:v>
      </x:c>
      <x:c r="C10" s="65" t="str">
        <x:v>Below IPO intraday</x:v>
      </x:c>
      <x:c r="D10" s="65" t="str">
        <x:v>2026-07-15</x:v>
      </x:c>
      <x:c r="E10" s="65" t="str">
        <x:v>$132.15</x:v>
      </x:c>
      <x:c r="F10" s="65" t="str">
        <x:v>ReturnLab</x:v>
      </x:c>
      <x:c r="G10" s="65" t="str">
        <x:v>https://returnlab.net/en/insights/spacex-below-ipo-price-who-is-down</x:v>
      </x:c>
      <x:c r="H10" s="65" t="str">
        <x:v>Intraday reference</x:v>
      </x:c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 ht="44" customHeight="1">
      <x:c r="A11" s="1"/>
      <x:c r="B11" s="65" t="str">
        <x:v>S7</x:v>
      </x:c>
      <x:c r="C11" s="65" t="str">
        <x:v>Fresh low reference</x:v>
      </x:c>
      <x:c r="D11" s="65" t="str">
        <x:v>2026-07-27</x:v>
      </x:c>
      <x:c r="E11" s="65" t="str">
        <x:v>$110.47</x:v>
      </x:c>
      <x:c r="F11" s="65" t="str">
        <x:v>Anadolu Agency</x:v>
      </x:c>
      <x:c r="G11" s="65" t="str">
        <x:v>https://www.aa.com.tr/en/economy/spacex-shares-sink-to-all-time-low-lose-half-their-value-from-peak/4010651</x:v>
      </x:c>
      <x:c r="H11" s="65" t="str">
        <x:v>Intraday reference</x:v>
      </x:c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 ht="44" customHeight="1">
      <x:c r="A12" s="1"/>
      <x:c r="B12" s="65" t="str">
        <x:v>S8</x:v>
      </x:c>
      <x:c r="C12" s="65" t="str">
        <x:v>Latest quote</x:v>
      </x:c>
      <x:c r="D12" s="65" t="str">
        <x:v>2026-07-27</x:v>
      </x:c>
      <x:c r="E12" s="65" t="str">
        <x:v>$113.50 close</x:v>
      </x:c>
      <x:c r="F12" s="65" t="str">
        <x:v>Market quote</x:v>
      </x:c>
      <x:c r="G12" s="65" t="str">
        <x:v>https://www.nasdaq.com/market-activity/stocks/spcx</x:v>
      </x:c>
      <x:c r="H12" s="65" t="str">
        <x:v>As of model date</x:v>
      </x:c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 ht="44" customHeight="1">
      <x:c r="A13" s="1"/>
      <x:c r="B13" s="65" t="str">
        <x:v>S9</x:v>
      </x:c>
      <x:c r="C13" s="65" t="str">
        <x:v>Index inclusion</x:v>
      </x:c>
      <x:c r="D13" s="65" t="str">
        <x:v>2026-07-07</x:v>
      </x:c>
      <x:c r="E13" s="65" t="str">
        <x:v>Nasdaq-100 inclusion</x:v>
      </x:c>
      <x:c r="F13" s="65" t="str">
        <x:v>Nasdaq IR</x:v>
      </x:c>
      <x:c r="G13" s="65" t="str">
        <x:v>https://ir.nasdaq.com/news-releases/news-release-details/space-exploration-technologies-corporation-join-nasdaq-100</x:v>
      </x:c>
      <x:c r="H13" s="65" t="str">
        <x:v>Potential flow catalyst</x:v>
      </x:c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1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1"/>
      <x:c r="B15" s="57" t="str">
        <x:v>Methodology &amp; Limitations</x:v>
      </x:c>
      <x:c r="C15" s="57" t="str">
        <x:v>Methodology &amp; Limitations</x:v>
      </x:c>
      <x:c r="D15" s="57" t="str">
        <x:v>Methodology &amp; Limitations</x:v>
      </x:c>
      <x:c r="E15" s="57" t="str">
        <x:v>Methodology &amp; Limitations</x:v>
      </x:c>
      <x:c r="F15" s="57" t="str">
        <x:v>Methodology &amp; Limitations</x:v>
      </x:c>
      <x:c r="G15" s="57" t="str">
        <x:v>Methodology &amp; Limitations</x:v>
      </x:c>
      <x:c r="H15" s="57" t="str">
        <x:v>Methodology &amp; Limitations</x:v>
      </x:c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 ht="30" customHeight="1">
      <x:c r="A16" s="1"/>
      <x:c r="B16" s="65" t="str">
        <x:v>1</x:v>
      </x:c>
      <x:c r="C16" s="65" t="str">
        <x:v>Forecasts are analyst assumptions, not company guidance. Blue-font yellow-fill cells are editable.</x:v>
      </x:c>
      <x:c r="D16" s="65"/>
      <x:c r="E16" s="65"/>
      <x:c r="F16" s="65"/>
      <x:c r="G16" s="65"/>
      <x:c r="H16" s="6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 ht="30" customHeight="1">
      <x:c r="A17" s="1"/>
      <x:c r="B17" s="65" t="str">
        <x:v>2</x:v>
      </x:c>
      <x:c r="C17" s="65" t="str">
        <x:v>SOTP is primary because Space, Connectivity, and AI have materially different maturity, capital intensity, and valuation bases.</x:v>
      </x:c>
      <x:c r="D17" s="65"/>
      <x:c r="E17" s="65"/>
      <x:c r="F17" s="65"/>
      <x:c r="G17" s="65"/>
      <x:c r="H17" s="6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 ht="30" customHeight="1">
      <x:c r="A18" s="1"/>
      <x:c r="B18" s="65" t="str">
        <x:v>3</x:v>
      </x:c>
      <x:c r="C18" s="65" t="str">
        <x:v>DCF uses a mid-year convention and Gordon-growth terminal value. It is especially sensitive to long-dated AI capex and terminal assumptions.</x:v>
      </x:c>
      <x:c r="D18" s="65"/>
      <x:c r="E18" s="65"/>
      <x:c r="F18" s="65"/>
      <x:c r="G18" s="65"/>
      <x:c r="H18" s="6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 ht="30" customHeight="1">
      <x:c r="A19" s="1"/>
      <x:c r="B19" s="65" t="str">
        <x:v>4</x:v>
      </x:c>
      <x:c r="C19" s="65" t="str">
        <x:v>Post-IPO price table uses verified milestones rather than an invented daily time series.</x:v>
      </x:c>
      <x:c r="D19" s="65"/>
      <x:c r="E19" s="65"/>
      <x:c r="F19" s="65"/>
      <x:c r="G19" s="65"/>
      <x:c r="H19" s="6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 ht="30" customHeight="1">
      <x:c r="A20" s="1"/>
      <x:c r="B20" s="65" t="str">
        <x:v>5</x:v>
      </x:c>
      <x:c r="C20" s="65" t="str">
        <x:v>This workbook is research analysis, not investment advice.</x:v>
      </x:c>
      <x:c r="D20" s="65"/>
      <x:c r="E20" s="65"/>
      <x:c r="F20" s="65"/>
      <x:c r="G20" s="65"/>
      <x:c r="H20" s="6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1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1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1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1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1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1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1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1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1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1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1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1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1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1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1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1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1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1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1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1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1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1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1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1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1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1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1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1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1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1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1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1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1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1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1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1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1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1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1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1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1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1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1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1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1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1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1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1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1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1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1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1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1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1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1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1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1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1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1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1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1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1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1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1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1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1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1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1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1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1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1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1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1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1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1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1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1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1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1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1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1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1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1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1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1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1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1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1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1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1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1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1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1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1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1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1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1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1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1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1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1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1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1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1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1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1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1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1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1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1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1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1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1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1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1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1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1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1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1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1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1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1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1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1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1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1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1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1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1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1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1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1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1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1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1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1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1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1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1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1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1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1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1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1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1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1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1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1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1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1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1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1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1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1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1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1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1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1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1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1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1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1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1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1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1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1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1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1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1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1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1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1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1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1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1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1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1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1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1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1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B2:H2"/>
    <x:mergeCell ref="B15:H15"/>
    <x:mergeCell ref="C16:H16"/>
    <x:mergeCell ref="C17:H17"/>
    <x:mergeCell ref="C18:H18"/>
    <x:mergeCell ref="C19:H19"/>
    <x:mergeCell ref="C20:H20"/>
  </x:mergeCells>
  <x:pageMargins left="0.7" right="0.7" top="0.75" bottom="0.75" header="0.3" footer="0.3"/>
</x:worksheet>
</file>